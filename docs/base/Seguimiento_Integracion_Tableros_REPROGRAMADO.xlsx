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senergychile-my.sharepoint.com/personal/sebastian_alvarez_csenergy_cl/Documents/CSE-Sebastián/01 - CLIENTES/07- IFX/01 - MAGNUS 1/"/>
    </mc:Choice>
  </mc:AlternateContent>
  <xr:revisionPtr revIDLastSave="57" documentId="8_{0452201E-1731-439C-97BE-8A35A193A73C}" xr6:coauthVersionLast="47" xr6:coauthVersionMax="47" xr10:uidLastSave="{A128D174-B9E1-4752-BBF0-20B47254166A}"/>
  <bookViews>
    <workbookView xWindow="-108" yWindow="-108" windowWidth="23256" windowHeight="12456" tabRatio="500" xr2:uid="{00000000-000D-0000-FFFF-FFFF00000000}"/>
  </bookViews>
  <sheets>
    <sheet name="Resumen" sheetId="1" r:id="rId1"/>
    <sheet name="TP" sheetId="2" r:id="rId2"/>
    <sheet name="T_G2" sheetId="3" r:id="rId3"/>
    <sheet name="BUS_A" sheetId="4" r:id="rId4"/>
    <sheet name="BUS_B" sheetId="5" r:id="rId5"/>
    <sheet name="CLIMA_A" sheetId="6" r:id="rId6"/>
    <sheet name="CLIMA_B" sheetId="7" r:id="rId7"/>
    <sheet name="NoConformidades" sheetId="8" r:id="rId8"/>
    <sheet name="ControlCambios" sheetId="9" r:id="rId9"/>
    <sheet name="Config" sheetId="10" r:id="rId10"/>
  </sheets>
  <definedNames>
    <definedName name="AvanceTbl">Config!$B$6:$C$9</definedName>
    <definedName name="EstadoCambioList">Config!$G$13:$G$16</definedName>
    <definedName name="EstadoList">Config!$B$6:$B$9</definedName>
    <definedName name="EstadoNCList">Config!$E$13:$E$16</definedName>
    <definedName name="SeveridadList">Config!$B$13:$B$15</definedName>
    <definedName name="TableroList">Config!$J$5:$J$10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8" l="1"/>
  <c r="G6" i="1"/>
  <c r="D30" i="5"/>
  <c r="D23" i="5"/>
  <c r="D30" i="4"/>
  <c r="D23" i="4"/>
  <c r="D30" i="3"/>
  <c r="D23" i="3"/>
  <c r="B29" i="9" l="1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B6" i="9"/>
  <c r="B5" i="9"/>
  <c r="M32" i="8"/>
  <c r="A32" i="8"/>
  <c r="M31" i="8"/>
  <c r="A31" i="8"/>
  <c r="M30" i="8"/>
  <c r="A30" i="8"/>
  <c r="M29" i="8"/>
  <c r="A29" i="8"/>
  <c r="M28" i="8"/>
  <c r="A28" i="8"/>
  <c r="M27" i="8"/>
  <c r="A27" i="8"/>
  <c r="M26" i="8"/>
  <c r="A26" i="8"/>
  <c r="M25" i="8"/>
  <c r="A25" i="8"/>
  <c r="M24" i="8"/>
  <c r="A24" i="8"/>
  <c r="M23" i="8"/>
  <c r="A23" i="8"/>
  <c r="M22" i="8"/>
  <c r="A22" i="8"/>
  <c r="M21" i="8"/>
  <c r="A21" i="8"/>
  <c r="M20" i="8"/>
  <c r="A20" i="8"/>
  <c r="M19" i="8"/>
  <c r="A19" i="8"/>
  <c r="M18" i="8"/>
  <c r="A18" i="8"/>
  <c r="M17" i="8"/>
  <c r="A17" i="8"/>
  <c r="M16" i="8"/>
  <c r="A16" i="8"/>
  <c r="M15" i="8"/>
  <c r="A15" i="8"/>
  <c r="M14" i="8"/>
  <c r="A14" i="8"/>
  <c r="M13" i="8"/>
  <c r="A13" i="8"/>
  <c r="M12" i="8"/>
  <c r="A12" i="8"/>
  <c r="M11" i="8"/>
  <c r="A11" i="8"/>
  <c r="M10" i="8"/>
  <c r="A10" i="8"/>
  <c r="M9" i="8"/>
  <c r="A9" i="8"/>
  <c r="M8" i="8"/>
  <c r="A8" i="8"/>
  <c r="M7" i="8"/>
  <c r="A7" i="8"/>
  <c r="M6" i="8"/>
  <c r="A6" i="8"/>
  <c r="M5" i="8"/>
  <c r="A5" i="8"/>
  <c r="M4" i="8"/>
  <c r="A4" i="8"/>
  <c r="M3" i="8"/>
  <c r="F56" i="7"/>
  <c r="F55" i="7"/>
  <c r="F54" i="7"/>
  <c r="F53" i="7"/>
  <c r="D52" i="7"/>
  <c r="F51" i="7"/>
  <c r="F50" i="7"/>
  <c r="F49" i="7"/>
  <c r="F48" i="7"/>
  <c r="D47" i="7"/>
  <c r="F46" i="7"/>
  <c r="F45" i="7"/>
  <c r="F44" i="7"/>
  <c r="D43" i="7"/>
  <c r="F42" i="7"/>
  <c r="F41" i="7"/>
  <c r="F40" i="7"/>
  <c r="F39" i="7"/>
  <c r="F38" i="7"/>
  <c r="D37" i="7"/>
  <c r="F36" i="7"/>
  <c r="F35" i="7"/>
  <c r="F34" i="7"/>
  <c r="F33" i="7"/>
  <c r="F32" i="7"/>
  <c r="F31" i="7"/>
  <c r="D30" i="7"/>
  <c r="F29" i="7"/>
  <c r="F28" i="7"/>
  <c r="F27" i="7"/>
  <c r="F26" i="7"/>
  <c r="F25" i="7"/>
  <c r="F24" i="7"/>
  <c r="D23" i="7"/>
  <c r="F22" i="7"/>
  <c r="F21" i="7"/>
  <c r="F20" i="7"/>
  <c r="F19" i="7"/>
  <c r="F18" i="7"/>
  <c r="F17" i="7"/>
  <c r="D16" i="7"/>
  <c r="F15" i="7"/>
  <c r="F14" i="7"/>
  <c r="F13" i="7"/>
  <c r="F12" i="7"/>
  <c r="F11" i="7"/>
  <c r="D10" i="7"/>
  <c r="F56" i="5"/>
  <c r="F55" i="5"/>
  <c r="F54" i="5"/>
  <c r="F53" i="5"/>
  <c r="D52" i="5"/>
  <c r="F51" i="5"/>
  <c r="F50" i="5"/>
  <c r="F49" i="5"/>
  <c r="F48" i="5"/>
  <c r="D47" i="5"/>
  <c r="F46" i="5"/>
  <c r="F45" i="5"/>
  <c r="F44" i="5"/>
  <c r="D43" i="5"/>
  <c r="F42" i="5"/>
  <c r="F41" i="5"/>
  <c r="F40" i="5"/>
  <c r="F39" i="5"/>
  <c r="F38" i="5"/>
  <c r="D37" i="5"/>
  <c r="F36" i="5"/>
  <c r="F35" i="5"/>
  <c r="F34" i="5"/>
  <c r="F33" i="5"/>
  <c r="F32" i="5"/>
  <c r="F31" i="5"/>
  <c r="F29" i="5"/>
  <c r="F28" i="5"/>
  <c r="F27" i="5"/>
  <c r="F26" i="5"/>
  <c r="F25" i="5"/>
  <c r="F24" i="5"/>
  <c r="F22" i="5"/>
  <c r="F21" i="5"/>
  <c r="F20" i="5"/>
  <c r="F19" i="5"/>
  <c r="F18" i="5"/>
  <c r="F17" i="5"/>
  <c r="D16" i="5"/>
  <c r="F15" i="5"/>
  <c r="F14" i="5"/>
  <c r="F13" i="5"/>
  <c r="F12" i="5"/>
  <c r="F11" i="5"/>
  <c r="D10" i="5"/>
  <c r="F56" i="4"/>
  <c r="F55" i="4"/>
  <c r="F54" i="4"/>
  <c r="F53" i="4"/>
  <c r="D52" i="4"/>
  <c r="F51" i="4"/>
  <c r="F50" i="4"/>
  <c r="F49" i="4"/>
  <c r="F48" i="4"/>
  <c r="D47" i="4"/>
  <c r="F46" i="4"/>
  <c r="F45" i="4"/>
  <c r="F44" i="4"/>
  <c r="D43" i="4"/>
  <c r="F42" i="4"/>
  <c r="F41" i="4"/>
  <c r="F40" i="4"/>
  <c r="F39" i="4"/>
  <c r="F38" i="4"/>
  <c r="D37" i="4"/>
  <c r="F36" i="4"/>
  <c r="F35" i="4"/>
  <c r="F34" i="4"/>
  <c r="F33" i="4"/>
  <c r="F32" i="4"/>
  <c r="F31" i="4"/>
  <c r="F29" i="4"/>
  <c r="F28" i="4"/>
  <c r="F27" i="4"/>
  <c r="F26" i="4"/>
  <c r="F25" i="4"/>
  <c r="F24" i="4"/>
  <c r="F22" i="4"/>
  <c r="F21" i="4"/>
  <c r="F20" i="4"/>
  <c r="F19" i="4"/>
  <c r="F18" i="4"/>
  <c r="F17" i="4"/>
  <c r="D16" i="4"/>
  <c r="F15" i="4"/>
  <c r="F14" i="4"/>
  <c r="F13" i="4"/>
  <c r="F12" i="4"/>
  <c r="F11" i="4"/>
  <c r="D10" i="4"/>
  <c r="F56" i="3"/>
  <c r="F55" i="3"/>
  <c r="F54" i="3"/>
  <c r="F53" i="3"/>
  <c r="D52" i="3"/>
  <c r="F51" i="3"/>
  <c r="F50" i="3"/>
  <c r="F49" i="3"/>
  <c r="F48" i="3"/>
  <c r="D47" i="3"/>
  <c r="F46" i="3"/>
  <c r="F45" i="3"/>
  <c r="F44" i="3"/>
  <c r="D43" i="3"/>
  <c r="F42" i="3"/>
  <c r="F41" i="3"/>
  <c r="F40" i="3"/>
  <c r="F39" i="3"/>
  <c r="F38" i="3"/>
  <c r="D37" i="3"/>
  <c r="F36" i="3"/>
  <c r="F35" i="3"/>
  <c r="F34" i="3"/>
  <c r="F33" i="3"/>
  <c r="F32" i="3"/>
  <c r="F31" i="3"/>
  <c r="F29" i="3"/>
  <c r="F28" i="3"/>
  <c r="F27" i="3"/>
  <c r="F26" i="3"/>
  <c r="F25" i="3"/>
  <c r="F24" i="3"/>
  <c r="F22" i="3"/>
  <c r="F21" i="3"/>
  <c r="F20" i="3"/>
  <c r="F19" i="3"/>
  <c r="F18" i="3"/>
  <c r="F17" i="3"/>
  <c r="D16" i="3"/>
  <c r="F15" i="3"/>
  <c r="F14" i="3"/>
  <c r="F13" i="3"/>
  <c r="F12" i="3"/>
  <c r="F11" i="3"/>
  <c r="D10" i="3"/>
  <c r="F56" i="2"/>
  <c r="F55" i="2"/>
  <c r="F54" i="2"/>
  <c r="F53" i="2"/>
  <c r="D52" i="2"/>
  <c r="F51" i="2"/>
  <c r="F50" i="2"/>
  <c r="F49" i="2"/>
  <c r="F48" i="2"/>
  <c r="D47" i="2"/>
  <c r="F46" i="2"/>
  <c r="F45" i="2"/>
  <c r="F44" i="2"/>
  <c r="D43" i="2"/>
  <c r="F42" i="2"/>
  <c r="F41" i="2"/>
  <c r="F40" i="2"/>
  <c r="F39" i="2"/>
  <c r="F38" i="2"/>
  <c r="D37" i="2"/>
  <c r="F36" i="2"/>
  <c r="F35" i="2"/>
  <c r="F34" i="2"/>
  <c r="F33" i="2"/>
  <c r="F32" i="2"/>
  <c r="F31" i="2"/>
  <c r="D30" i="2"/>
  <c r="F29" i="2"/>
  <c r="F28" i="2"/>
  <c r="F27" i="2"/>
  <c r="F26" i="2"/>
  <c r="F25" i="2"/>
  <c r="F24" i="2"/>
  <c r="D23" i="2"/>
  <c r="F22" i="2"/>
  <c r="F21" i="2"/>
  <c r="F20" i="2"/>
  <c r="F19" i="2"/>
  <c r="F18" i="2"/>
  <c r="F17" i="2"/>
  <c r="D16" i="2"/>
  <c r="F15" i="2"/>
  <c r="F14" i="2"/>
  <c r="F13" i="2"/>
  <c r="F12" i="2"/>
  <c r="F11" i="2"/>
  <c r="D10" i="2"/>
  <c r="I11" i="1"/>
  <c r="H11" i="1"/>
  <c r="G11" i="1"/>
  <c r="F11" i="1"/>
  <c r="E11" i="1"/>
  <c r="I10" i="1"/>
  <c r="H10" i="1"/>
  <c r="G10" i="1"/>
  <c r="F10" i="1"/>
  <c r="E10" i="1"/>
  <c r="I9" i="1"/>
  <c r="H9" i="1"/>
  <c r="G9" i="1"/>
  <c r="F9" i="1"/>
  <c r="E9" i="1"/>
  <c r="I8" i="1"/>
  <c r="H8" i="1"/>
  <c r="G8" i="1"/>
  <c r="F8" i="1"/>
  <c r="E8" i="1"/>
  <c r="I7" i="1"/>
  <c r="H7" i="1"/>
  <c r="G7" i="1"/>
  <c r="F7" i="1"/>
  <c r="E7" i="1"/>
  <c r="I6" i="1"/>
  <c r="H6" i="1"/>
  <c r="F6" i="1"/>
  <c r="E6" i="1"/>
  <c r="F56" i="6"/>
  <c r="F55" i="6"/>
  <c r="F54" i="6"/>
  <c r="F53" i="6"/>
  <c r="D52" i="6"/>
  <c r="F51" i="6"/>
  <c r="F50" i="6"/>
  <c r="F49" i="6"/>
  <c r="F48" i="6"/>
  <c r="D47" i="6"/>
  <c r="F46" i="6"/>
  <c r="F45" i="6"/>
  <c r="F44" i="6"/>
  <c r="D43" i="6"/>
  <c r="F42" i="6"/>
  <c r="F41" i="6"/>
  <c r="F40" i="6"/>
  <c r="F39" i="6"/>
  <c r="F38" i="6"/>
  <c r="D37" i="6"/>
  <c r="F36" i="6"/>
  <c r="F35" i="6"/>
  <c r="F34" i="6"/>
  <c r="F33" i="6"/>
  <c r="F32" i="6"/>
  <c r="F31" i="6"/>
  <c r="D30" i="6"/>
  <c r="F29" i="6"/>
  <c r="F28" i="6"/>
  <c r="F27" i="6"/>
  <c r="F26" i="6"/>
  <c r="F25" i="6"/>
  <c r="F24" i="6"/>
  <c r="D23" i="6"/>
  <c r="F22" i="6"/>
  <c r="F21" i="6"/>
  <c r="F20" i="6"/>
  <c r="F19" i="6"/>
  <c r="F18" i="6"/>
  <c r="F17" i="6"/>
  <c r="D16" i="6"/>
  <c r="F15" i="6"/>
  <c r="F14" i="6"/>
  <c r="F13" i="6"/>
  <c r="F12" i="6"/>
  <c r="F11" i="6"/>
  <c r="D10" i="6"/>
  <c r="F52" i="5" l="1" a="1"/>
  <c r="F52" i="5" s="1"/>
  <c r="F37" i="7" a="1"/>
  <c r="F37" i="7" s="1"/>
  <c r="F10" i="2" a="1"/>
  <c r="F10" i="2" s="1"/>
  <c r="F52" i="4" a="1"/>
  <c r="F52" i="4" s="1"/>
  <c r="F37" i="4" a="1"/>
  <c r="F37" i="4" s="1"/>
  <c r="F23" i="7" a="1"/>
  <c r="F23" i="7" s="1"/>
  <c r="F52" i="7" a="1"/>
  <c r="F52" i="7" s="1"/>
  <c r="F10" i="6" a="1"/>
  <c r="F10" i="6" s="1"/>
  <c r="F43" i="6" a="1"/>
  <c r="F43" i="6" s="1"/>
  <c r="F52" i="2" a="1"/>
  <c r="F52" i="2" s="1"/>
  <c r="F47" i="4" a="1"/>
  <c r="F47" i="4" s="1"/>
  <c r="F16" i="2" a="1"/>
  <c r="F16" i="2" s="1"/>
  <c r="F23" i="4" a="1"/>
  <c r="F23" i="4" s="1"/>
  <c r="H12" i="1"/>
  <c r="F47" i="2" a="1"/>
  <c r="F47" i="2" s="1"/>
  <c r="F47" i="6" a="1"/>
  <c r="F47" i="6" s="1"/>
  <c r="F23" i="2" a="1"/>
  <c r="F23" i="2" s="1"/>
  <c r="F52" i="6" a="1"/>
  <c r="F52" i="6" s="1"/>
  <c r="F10" i="7" a="1"/>
  <c r="F10" i="7" s="1"/>
  <c r="F37" i="6" a="1"/>
  <c r="F37" i="6" s="1"/>
  <c r="F43" i="2" a="1"/>
  <c r="F43" i="2" s="1"/>
  <c r="F47" i="3" a="1"/>
  <c r="F47" i="3" s="1"/>
  <c r="F16" i="4" a="1"/>
  <c r="F16" i="4" s="1"/>
  <c r="F16" i="5" a="1"/>
  <c r="F16" i="5" s="1"/>
  <c r="F47" i="7" a="1"/>
  <c r="F47" i="7" s="1"/>
  <c r="F23" i="6" a="1"/>
  <c r="F23" i="6" s="1"/>
  <c r="F37" i="2" a="1"/>
  <c r="F37" i="2" s="1"/>
  <c r="F30" i="3" a="1"/>
  <c r="F30" i="3" s="1"/>
  <c r="F30" i="7" a="1"/>
  <c r="F30" i="7" s="1"/>
  <c r="F16" i="7" a="1"/>
  <c r="F16" i="7" s="1"/>
  <c r="F30" i="2" a="1"/>
  <c r="F30" i="2" s="1"/>
  <c r="F10" i="4" a="1"/>
  <c r="F10" i="4" s="1"/>
  <c r="I12" i="1"/>
  <c r="F10" i="3" a="1"/>
  <c r="F10" i="3" s="1"/>
  <c r="F43" i="4" a="1"/>
  <c r="F43" i="4" s="1"/>
  <c r="F43" i="7" a="1"/>
  <c r="F43" i="7" s="1"/>
  <c r="F30" i="6" a="1"/>
  <c r="F30" i="6" s="1"/>
  <c r="F16" i="6" a="1"/>
  <c r="F16" i="6" s="1"/>
  <c r="F37" i="5" a="1"/>
  <c r="F37" i="5" s="1"/>
  <c r="F23" i="5" a="1"/>
  <c r="F23" i="5" s="1"/>
  <c r="F43" i="5" a="1"/>
  <c r="F43" i="5" s="1"/>
  <c r="F30" i="4" a="1"/>
  <c r="F30" i="4" s="1"/>
  <c r="F47" i="5" a="1"/>
  <c r="F47" i="5" s="1"/>
  <c r="F10" i="5" a="1"/>
  <c r="F10" i="5" s="1"/>
  <c r="F30" i="5" a="1"/>
  <c r="F30" i="5" s="1"/>
  <c r="F43" i="3" a="1"/>
  <c r="F43" i="3" s="1"/>
  <c r="F16" i="3" a="1"/>
  <c r="F16" i="3" s="1"/>
  <c r="F52" i="3" a="1"/>
  <c r="F52" i="3" s="1"/>
  <c r="F23" i="3" a="1"/>
  <c r="F23" i="3" s="1"/>
  <c r="F37" i="3" a="1"/>
  <c r="F37" i="3" s="1"/>
  <c r="G7" i="2" l="1"/>
  <c r="C6" i="1" s="1"/>
  <c r="D6" i="1" s="1"/>
  <c r="G7" i="6"/>
  <c r="C10" i="1" s="1"/>
  <c r="D10" i="1" s="1"/>
  <c r="G7" i="7"/>
  <c r="C11" i="1" s="1"/>
  <c r="D11" i="1" s="1"/>
  <c r="G7" i="3"/>
  <c r="C7" i="1" s="1"/>
  <c r="D7" i="1" s="1"/>
  <c r="G7" i="4"/>
  <c r="C8" i="1" s="1"/>
  <c r="D8" i="1" s="1"/>
  <c r="G7" i="5"/>
  <c r="C9" i="1" s="1"/>
  <c r="D9" i="1" s="1"/>
  <c r="C12" i="1" l="1"/>
</calcChain>
</file>

<file path=xl/sharedStrings.xml><?xml version="1.0" encoding="utf-8"?>
<sst xmlns="http://schemas.openxmlformats.org/spreadsheetml/2006/main" count="1208" uniqueCount="184">
  <si>
    <t>RESUMEN GENERAL — INTEGRACIÓN DE TABLEROS</t>
  </si>
  <si>
    <t>Consolidado automático. Fechas plan cargadas desde la carta Gantt del proveedor.</t>
  </si>
  <si>
    <t>Tablero</t>
  </si>
  <si>
    <t>Avance Global</t>
  </si>
  <si>
    <t>Estado General</t>
  </si>
  <si>
    <t>Plan Inicio</t>
  </si>
  <si>
    <t>Plan Fin Despacho</t>
  </si>
  <si>
    <t>Real Fin Despacho</t>
  </si>
  <si>
    <t>NC Abiertas</t>
  </si>
  <si>
    <t>Cambios Pend.</t>
  </si>
  <si>
    <t>TP</t>
  </si>
  <si>
    <t>T_G2</t>
  </si>
  <si>
    <t>BUS_A</t>
  </si>
  <si>
    <t>BUS_B</t>
  </si>
  <si>
    <t>CLIMA_A</t>
  </si>
  <si>
    <t>CLIMA_B</t>
  </si>
  <si>
    <t>PROMEDIO / TOTAL</t>
  </si>
  <si>
    <t>Leyenda estados (sub-hitos):</t>
  </si>
  <si>
    <t>Pendiente = 0%</t>
  </si>
  <si>
    <t>En proceso = 50%</t>
  </si>
  <si>
    <t>Completado = 100%</t>
  </si>
  <si>
    <t>SEGUIMIENTO DE INTEGRACIÓN — TABLERO TP</t>
  </si>
  <si>
    <t>Proyecto:</t>
  </si>
  <si>
    <t>TAG:</t>
  </si>
  <si>
    <t>Rev.:</t>
  </si>
  <si>
    <t>Fabricante:</t>
  </si>
  <si>
    <t>OC/Contrato:</t>
  </si>
  <si>
    <t>IN-17248</t>
  </si>
  <si>
    <t>Actualizado:</t>
  </si>
  <si>
    <t>AVANCE GLOBAL DEL TABLERO</t>
  </si>
  <si>
    <t>#</t>
  </si>
  <si>
    <t>Hito / Sub-actividad</t>
  </si>
  <si>
    <t>Peso</t>
  </si>
  <si>
    <t>Estado</t>
  </si>
  <si>
    <t>Avance</t>
  </si>
  <si>
    <t>Plan Fin</t>
  </si>
  <si>
    <t>Real Inicio</t>
  </si>
  <si>
    <t>Real Fin</t>
  </si>
  <si>
    <t>Responsable</t>
  </si>
  <si>
    <t>Observaciones</t>
  </si>
  <si>
    <t>1. Armado de Tablero</t>
  </si>
  <si>
    <t>1.1</t>
  </si>
  <si>
    <t>Recepción y verificación de envolvente (dimensiones, IP/IK, RAL)</t>
  </si>
  <si>
    <t>Completado</t>
  </si>
  <si>
    <t>CSE</t>
  </si>
  <si>
    <t>1.2</t>
  </si>
  <si>
    <t>Ensamble de estructura y paneles del gabinete</t>
  </si>
  <si>
    <t>CMF</t>
  </si>
  <si>
    <t>1.3</t>
  </si>
  <si>
    <t>Montaje de perfilería DIN y placas de montaje</t>
  </si>
  <si>
    <t>Pendiente</t>
  </si>
  <si>
    <t>1.4</t>
  </si>
  <si>
    <t>Instalación de puertas, bisagras y cerraduras</t>
  </si>
  <si>
    <t>1.5</t>
  </si>
  <si>
    <t>Fijación de canaletas y sistema de cableado</t>
  </si>
  <si>
    <t>2. Montaje de protecciones</t>
  </si>
  <si>
    <t>2.1</t>
  </si>
  <si>
    <t>Verificación de aparatos vs. lista de materiales (marca/In/Icu)</t>
  </si>
  <si>
    <t>2.2</t>
  </si>
  <si>
    <t>Montaje de interruptor principal</t>
  </si>
  <si>
    <t>2.3</t>
  </si>
  <si>
    <t>Montaje de protecciones de derivación</t>
  </si>
  <si>
    <t>2.4</t>
  </si>
  <si>
    <t>Montaje de diferenciales / protecciones auxiliares</t>
  </si>
  <si>
    <t>N/A</t>
  </si>
  <si>
    <t>2.5</t>
  </si>
  <si>
    <t>Instalación de instrumentación (medidores, TC, relés)</t>
  </si>
  <si>
    <t>2.6</t>
  </si>
  <si>
    <t>Fijación y torque de aparatos según layout</t>
  </si>
  <si>
    <t>3. Fabricación y montaje de barras</t>
  </si>
  <si>
    <t>3.1</t>
  </si>
  <si>
    <t>Corte y conformado de barras (fases, N)</t>
  </si>
  <si>
    <t>En proceso</t>
  </si>
  <si>
    <t>3.2</t>
  </si>
  <si>
    <t>Perforado y tratamiento de superficie / aislamiento</t>
  </si>
  <si>
    <t>3.3</t>
  </si>
  <si>
    <t>Montaje de aisladores y soportes de barra</t>
  </si>
  <si>
    <t>3.4</t>
  </si>
  <si>
    <t>Instalación de barras principales con torque especificado</t>
  </si>
  <si>
    <t>3.5</t>
  </si>
  <si>
    <t>Montaje de barra de tierra (PE) y neutro (N)</t>
  </si>
  <si>
    <t>3.6</t>
  </si>
  <si>
    <t>Conexión de derivaciones a protecciones</t>
  </si>
  <si>
    <t>4. Alambrado del tablero</t>
  </si>
  <si>
    <t>4.1</t>
  </si>
  <si>
    <t>Alambrado de circuito de fuerza</t>
  </si>
  <si>
    <t>4.2</t>
  </si>
  <si>
    <t>Alambrado de circuito de control / mando</t>
  </si>
  <si>
    <t>4.3</t>
  </si>
  <si>
    <t>Conexionado de instrumentación y señalización</t>
  </si>
  <si>
    <t>4.4</t>
  </si>
  <si>
    <t>Montaje de punteras/terminales y apriete con torque</t>
  </si>
  <si>
    <t>4.5</t>
  </si>
  <si>
    <t>Peinado y ordenamiento de mazos de cable</t>
  </si>
  <si>
    <t>4.6</t>
  </si>
  <si>
    <t>Conexión de barra PE a partes metálicas accesibles</t>
  </si>
  <si>
    <t>5. Rotulación</t>
  </si>
  <si>
    <t>5.1</t>
  </si>
  <si>
    <t>Etiquetado de conductores en ambos extremos</t>
  </si>
  <si>
    <t>5.2</t>
  </si>
  <si>
    <t>Rotulado de aparatos y bornes según planos</t>
  </si>
  <si>
    <t>5.3</t>
  </si>
  <si>
    <t>Instalación de placa de características (nameplate)</t>
  </si>
  <si>
    <t>5.4</t>
  </si>
  <si>
    <t>Rótulos de advertencia y seguridad</t>
  </si>
  <si>
    <t>5.5</t>
  </si>
  <si>
    <t>Verificación de coincidencia rótulos vs. esquema</t>
  </si>
  <si>
    <t>6. Pruebas FAT</t>
  </si>
  <si>
    <t>6.1</t>
  </si>
  <si>
    <t>Ejecución de protocolo FAT (según alcance definido)</t>
  </si>
  <si>
    <t>6.2</t>
  </si>
  <si>
    <t>Levantamiento y cierre de punchlist</t>
  </si>
  <si>
    <t>6.3</t>
  </si>
  <si>
    <t>Protocolo FAT firmado / liberación</t>
  </si>
  <si>
    <t>7. Embalaje</t>
  </si>
  <si>
    <t>7.1</t>
  </si>
  <si>
    <t>Limpieza y protección interior del tablero</t>
  </si>
  <si>
    <t>7.2</t>
  </si>
  <si>
    <t>Bloqueo/aseguramiento de aparatos móviles para transporte</t>
  </si>
  <si>
    <t>7.3</t>
  </si>
  <si>
    <t>Embalaje protector (film, esquineros, IP de transporte)</t>
  </si>
  <si>
    <t>7.4</t>
  </si>
  <si>
    <t>Identificación externa del bulto y documentación adjunta</t>
  </si>
  <si>
    <t>8. Despacho</t>
  </si>
  <si>
    <t>8.1</t>
  </si>
  <si>
    <t>Coordinación logística de retiro/entrega</t>
  </si>
  <si>
    <t>8.2</t>
  </si>
  <si>
    <t>Verificación documental (guía de despacho, as-built)</t>
  </si>
  <si>
    <t>8.3</t>
  </si>
  <si>
    <t>Carga y despacho</t>
  </si>
  <si>
    <t>8.4</t>
  </si>
  <si>
    <t>Confirmación de recepción en destino</t>
  </si>
  <si>
    <t>CLIENTE</t>
  </si>
  <si>
    <t>SEGUIMIENTO DE INTEGRACIÓN — TABLERO T_G2</t>
  </si>
  <si>
    <t>C.Costo</t>
  </si>
  <si>
    <t>IN-17428</t>
  </si>
  <si>
    <t>SEGUIMIENTO DE INTEGRACIÓN — TABLERO BUS_A</t>
  </si>
  <si>
    <t>SEGUIMIENTO DE INTEGRACIÓN — TABLERO BUS_B</t>
  </si>
  <si>
    <t>SEGUIMIENTO DE INTEGRACIÓN — TABLERO CLIMA_A</t>
  </si>
  <si>
    <t>SEGUIMIENTO DE INTEGRACIÓN — TABLERO CLIMA_B</t>
  </si>
  <si>
    <t>REGISTRO DE NO CONFORMIDADES (NC)</t>
  </si>
  <si>
    <t>N° NC</t>
  </si>
  <si>
    <t>Fecha Detección</t>
  </si>
  <si>
    <t>Hito / Actividad</t>
  </si>
  <si>
    <t>Descripción de la NC</t>
  </si>
  <si>
    <t>Severidad</t>
  </si>
  <si>
    <t>Acción correctiva</t>
  </si>
  <si>
    <t>Fecha Compromiso</t>
  </si>
  <si>
    <t>Fecha Cierre</t>
  </si>
  <si>
    <t>Evidencia/Ref.</t>
  </si>
  <si>
    <t>Días Abierta</t>
  </si>
  <si>
    <t>CONTROL DE CAMBIOS</t>
  </si>
  <si>
    <t>N° Cambio</t>
  </si>
  <si>
    <t>Fecha</t>
  </si>
  <si>
    <t>Descripción del cambio</t>
  </si>
  <si>
    <t>Motivo / Justificación</t>
  </si>
  <si>
    <t>Impacto (plazo/costo/alcance)</t>
  </si>
  <si>
    <t>Solicitante</t>
  </si>
  <si>
    <t>Aprobado por</t>
  </si>
  <si>
    <t>Fecha Aprob.</t>
  </si>
  <si>
    <t>Reducción del largo total</t>
  </si>
  <si>
    <t>Espacio de instalación con poca holgura</t>
  </si>
  <si>
    <t>Bajo-Medio</t>
  </si>
  <si>
    <t>Propuesto</t>
  </si>
  <si>
    <t>PM / Cliente</t>
  </si>
  <si>
    <t>Informe RFC 001</t>
  </si>
  <si>
    <t>CONFIGURACIÓN</t>
  </si>
  <si>
    <t>Estados y valor de avance</t>
  </si>
  <si>
    <t>Tableros</t>
  </si>
  <si>
    <t>Severidad NC</t>
  </si>
  <si>
    <t>Estado NC</t>
  </si>
  <si>
    <t>Estado Cambio</t>
  </si>
  <si>
    <t>Menor</t>
  </si>
  <si>
    <t>Abierta</t>
  </si>
  <si>
    <t>Mayor</t>
  </si>
  <si>
    <t>En análisis</t>
  </si>
  <si>
    <t>Aprobado</t>
  </si>
  <si>
    <t>Crítica</t>
  </si>
  <si>
    <t>En corrección</t>
  </si>
  <si>
    <t>Rechazado</t>
  </si>
  <si>
    <t>Cerrada</t>
  </si>
  <si>
    <t>Implementado</t>
  </si>
  <si>
    <t>Nota: no modificar los nombres de estado; las hojas los referencian por fórmula.</t>
  </si>
  <si>
    <t>REMODELACIÓN CENTRO DE DATOS MAGNUS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</si>
</sst>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dd\-mm\-yyyy"/>
    <numFmt numFmtId="166" formatCode="m/d/yyyy"/>
    <numFmt numFmtId="167" formatCode="d\-mmm"/>
    <numFmt numFmtId="168" formatCode="yyyy\-mm\-dd"/>
  </numFmts>
  <fonts count="19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  <charset val="1"/>
    </font>
    <font>
      <i/>
      <sz val="9"/>
      <color rgb="FF80808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9C0006"/>
      <name val="Arial"/>
      <family val="2"/>
      <charset val="1"/>
    </font>
    <font>
      <sz val="10"/>
      <color rgb="FF9C6500"/>
      <name val="Arial"/>
      <family val="2"/>
      <charset val="1"/>
    </font>
    <font>
      <sz val="10"/>
      <color rgb="FF0061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6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0"/>
      <color rgb="FF1F3864"/>
      <name val="Arial"/>
      <family val="2"/>
      <charset val="1"/>
    </font>
    <font>
      <sz val="9"/>
      <color rgb="FF000000"/>
      <name val="Arial"/>
      <family val="2"/>
      <charset val="1"/>
    </font>
    <font>
      <b/>
      <sz val="14"/>
      <color rgb="FF1F3864"/>
      <name val="Arial"/>
      <family val="2"/>
      <charset val="1"/>
    </font>
    <font>
      <sz val="7"/>
      <color rgb="FF000000"/>
      <name val="Consolas"/>
      <family val="3"/>
    </font>
    <font>
      <sz val="7"/>
      <color rgb="FF0000FF"/>
      <name val="Consolas"/>
      <family val="3"/>
    </font>
    <font>
      <sz val="9"/>
      <color rgb="FF0000FF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9D9D9"/>
        <bgColor rgb="FFE7E6E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E7E6E6"/>
      </patternFill>
    </fill>
    <fill>
      <patternFill patternType="solid">
        <fgColor rgb="FFC6EFCE"/>
        <bgColor rgb="FFDDEBF7"/>
      </patternFill>
    </fill>
    <fill>
      <patternFill patternType="solid">
        <fgColor rgb="FFE7E6E6"/>
        <bgColor rgb="FFDDEBF7"/>
      </patternFill>
    </fill>
    <fill>
      <patternFill patternType="solid">
        <fgColor rgb="FFF2F2F2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E7E6E6"/>
      </patternFill>
    </fill>
    <fill>
      <patternFill patternType="solid">
        <fgColor rgb="FFFFFFFE"/>
        <bgColor indexed="64"/>
      </patternFill>
    </fill>
  </fills>
  <borders count="5">
    <border>
      <left/>
      <right/>
      <top/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5" fillId="8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4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9" borderId="3" xfId="0" applyFont="1" applyFill="1" applyBorder="1" applyAlignment="1">
      <alignment horizontal="right" vertical="center"/>
    </xf>
    <xf numFmtId="0" fontId="5" fillId="8" borderId="3" xfId="0" applyFont="1" applyFill="1" applyBorder="1" applyAlignment="1">
      <alignment horizontal="left" vertical="center"/>
    </xf>
    <xf numFmtId="0" fontId="12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/>
    </xf>
    <xf numFmtId="9" fontId="4" fillId="8" borderId="3" xfId="0" applyNumberFormat="1" applyFont="1" applyFill="1" applyBorder="1" applyAlignment="1">
      <alignment horizontal="center" vertical="center"/>
    </xf>
    <xf numFmtId="165" fontId="13" fillId="8" borderId="3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9" fontId="5" fillId="0" borderId="3" xfId="0" applyNumberFormat="1" applyFont="1" applyBorder="1" applyAlignment="1">
      <alignment horizontal="center" vertical="center"/>
    </xf>
    <xf numFmtId="167" fontId="5" fillId="8" borderId="3" xfId="0" applyNumberFormat="1" applyFont="1" applyFill="1" applyBorder="1" applyAlignment="1">
      <alignment horizontal="left" vertical="center"/>
    </xf>
    <xf numFmtId="165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/>
    </xf>
    <xf numFmtId="1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6" fontId="14" fillId="0" borderId="3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8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164" fontId="11" fillId="11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5" fillId="10" borderId="3" xfId="0" applyFont="1" applyFill="1" applyBorder="1" applyAlignment="1">
      <alignment horizontal="left" vertical="center"/>
    </xf>
    <xf numFmtId="166" fontId="5" fillId="10" borderId="3" xfId="0" applyNumberFormat="1" applyFont="1" applyFill="1" applyBorder="1" applyAlignment="1">
      <alignment horizontal="left" vertical="center"/>
    </xf>
    <xf numFmtId="168" fontId="5" fillId="10" borderId="3" xfId="0" applyNumberFormat="1" applyFont="1" applyFill="1" applyBorder="1" applyAlignment="1">
      <alignment horizontal="left" vertical="center"/>
    </xf>
    <xf numFmtId="165" fontId="14" fillId="0" borderId="4" xfId="0" applyNumberFormat="1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16" fontId="5" fillId="8" borderId="3" xfId="0" applyNumberFormat="1" applyFont="1" applyFill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</cellXfs>
  <cellStyles count="1">
    <cellStyle name="Normal" xfId="0" builtinId="0"/>
  </cellStyles>
  <dxfs count="78">
    <dxf>
      <font>
        <color rgb="FF1F3864"/>
        <name val="Arial"/>
        <charset val="1"/>
      </font>
      <fill>
        <patternFill>
          <bgColor rgb="FFDDEBF7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2:I38"/>
  <sheetViews>
    <sheetView showGridLines="0" tabSelected="1" zoomScaleNormal="100" workbookViewId="0">
      <selection activeCell="G19" sqref="G19"/>
    </sheetView>
  </sheetViews>
  <sheetFormatPr baseColWidth="10" defaultColWidth="8.6640625" defaultRowHeight="14.4" x14ac:dyDescent="0.3"/>
  <cols>
    <col min="1" max="1" width="2" customWidth="1"/>
    <col min="2" max="2" width="26.88671875" customWidth="1"/>
    <col min="3" max="3" width="15" customWidth="1"/>
    <col min="4" max="4" width="17" customWidth="1"/>
    <col min="5" max="5" width="13" customWidth="1"/>
    <col min="6" max="7" width="16" customWidth="1"/>
    <col min="8" max="8" width="12" customWidth="1"/>
    <col min="9" max="9" width="13" customWidth="1"/>
  </cols>
  <sheetData>
    <row r="2" spans="2:9" ht="18.75" customHeight="1" x14ac:dyDescent="0.3">
      <c r="B2" s="37" t="s">
        <v>0</v>
      </c>
      <c r="C2" s="37"/>
      <c r="D2" s="37"/>
      <c r="E2" s="37"/>
      <c r="F2" s="37"/>
      <c r="G2" s="37"/>
      <c r="H2" s="37"/>
      <c r="I2" s="37"/>
    </row>
    <row r="3" spans="2:9" x14ac:dyDescent="0.3">
      <c r="B3" s="38" t="s">
        <v>1</v>
      </c>
      <c r="C3" s="38"/>
      <c r="D3" s="38"/>
      <c r="E3" s="38"/>
      <c r="F3" s="38"/>
      <c r="G3" s="38"/>
      <c r="H3" s="38"/>
      <c r="I3" s="38"/>
    </row>
    <row r="5" spans="2:9" ht="26.25" customHeight="1" x14ac:dyDescent="0.3"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</row>
    <row r="6" spans="2:9" x14ac:dyDescent="0.3">
      <c r="B6" s="5" t="s">
        <v>10</v>
      </c>
      <c r="C6" s="6">
        <f>TP!$G$7</f>
        <v>0.36494252873563221</v>
      </c>
      <c r="D6" s="7" t="str">
        <f t="shared" ref="D6:D11" si="0">IF(C6&gt;=1,"Completado",IF(C6&gt;=0.99,"Por liberar",IF(C6&gt;0,"En proceso","No iniciado")))</f>
        <v>En proceso</v>
      </c>
      <c r="E6" s="8">
        <f>TP!$G$10</f>
        <v>46237</v>
      </c>
      <c r="F6" s="8">
        <f>TP!$H$52</f>
        <v>46271</v>
      </c>
      <c r="G6" s="8">
        <f>TP!$J$55</f>
        <v>0</v>
      </c>
      <c r="H6" s="7">
        <f>COUNTIFS(NoConformidades!$B:$B,B6,NoConformidades!$G:$G,"&lt;&gt;Cerrada")</f>
        <v>0</v>
      </c>
      <c r="I6" s="7">
        <f>COUNTIFS(ControlCambios!$C:$C,B6,ControlCambios!$G:$G,"Propuesto")</f>
        <v>0</v>
      </c>
    </row>
    <row r="7" spans="2:9" x14ac:dyDescent="0.3">
      <c r="B7" s="5" t="s">
        <v>11</v>
      </c>
      <c r="C7" s="6">
        <f>T_G2!$G$7</f>
        <v>0.36494252873563221</v>
      </c>
      <c r="D7" s="7" t="str">
        <f t="shared" si="0"/>
        <v>En proceso</v>
      </c>
      <c r="E7" s="8">
        <f>T_G2!$G$10</f>
        <v>46237</v>
      </c>
      <c r="F7" s="8">
        <f>T_G2!$H$52</f>
        <v>46271</v>
      </c>
      <c r="G7" s="8">
        <f>T_G2!$J$55</f>
        <v>0</v>
      </c>
      <c r="H7" s="7">
        <f>COUNTIFS(NoConformidades!$B:$B,B7,NoConformidades!$G:$G,"&lt;&gt;Cerrada")</f>
        <v>0</v>
      </c>
      <c r="I7" s="7">
        <f>COUNTIFS(ControlCambios!$C:$C,B7,ControlCambios!$G:$G,"Propuesto")</f>
        <v>0</v>
      </c>
    </row>
    <row r="8" spans="2:9" x14ac:dyDescent="0.3">
      <c r="B8" s="5" t="s">
        <v>12</v>
      </c>
      <c r="C8" s="6">
        <f>BUS_A!$G$7</f>
        <v>0.5178571428571429</v>
      </c>
      <c r="D8" s="7" t="str">
        <f t="shared" si="0"/>
        <v>En proceso</v>
      </c>
      <c r="E8" s="8">
        <f>BUS_A!$G$10</f>
        <v>46237</v>
      </c>
      <c r="F8" s="8">
        <f>BUS_A!$H$52</f>
        <v>46286</v>
      </c>
      <c r="G8" s="8">
        <f>BUS_A!$J$55</f>
        <v>0</v>
      </c>
      <c r="H8" s="7">
        <f>COUNTIFS(NoConformidades!$B:$B,B8,NoConformidades!$G:$G,"&lt;&gt;Cerrada")</f>
        <v>0</v>
      </c>
      <c r="I8" s="7">
        <f>COUNTIFS(ControlCambios!$C:$C,B8,ControlCambios!$G:$G,"Propuesto")</f>
        <v>0</v>
      </c>
    </row>
    <row r="9" spans="2:9" x14ac:dyDescent="0.3">
      <c r="B9" s="5" t="s">
        <v>13</v>
      </c>
      <c r="C9" s="6">
        <f>BUS_B!$G$7</f>
        <v>0.5178571428571429</v>
      </c>
      <c r="D9" s="7" t="str">
        <f t="shared" si="0"/>
        <v>En proceso</v>
      </c>
      <c r="E9" s="8">
        <f>BUS_B!$G$10</f>
        <v>46237</v>
      </c>
      <c r="F9" s="8">
        <f>BUS_B!$H$52</f>
        <v>46286</v>
      </c>
      <c r="G9" s="8">
        <f>BUS_B!$J$55</f>
        <v>0</v>
      </c>
      <c r="H9" s="7">
        <f>COUNTIFS(NoConformidades!$B:$B,B9,NoConformidades!$G:$G,"&lt;&gt;Cerrada")</f>
        <v>0</v>
      </c>
      <c r="I9" s="7">
        <f>COUNTIFS(ControlCambios!$C:$C,B9,ControlCambios!$G:$G,"Propuesto")</f>
        <v>0</v>
      </c>
    </row>
    <row r="10" spans="2:9" x14ac:dyDescent="0.3">
      <c r="B10" s="5" t="s">
        <v>14</v>
      </c>
      <c r="C10" s="6">
        <f>CLIMA_A!$G$7</f>
        <v>0.4483695652173913</v>
      </c>
      <c r="D10" s="7" t="str">
        <f t="shared" si="0"/>
        <v>En proceso</v>
      </c>
      <c r="E10" s="8">
        <f>CLIMA_A!$G$10</f>
        <v>46237</v>
      </c>
      <c r="F10" s="8">
        <f>CLIMA_A!$H$52</f>
        <v>46271</v>
      </c>
      <c r="G10" s="8">
        <f>CLIMA_A!$J$55</f>
        <v>0</v>
      </c>
      <c r="H10" s="7">
        <f>COUNTIFS(NoConformidades!$B:$B,B10,NoConformidades!$G:$G,"&lt;&gt;Cerrada")</f>
        <v>0</v>
      </c>
      <c r="I10" s="7">
        <f>COUNTIFS(ControlCambios!$C:$C,B10,ControlCambios!$G:$G,"Propuesto")</f>
        <v>0</v>
      </c>
    </row>
    <row r="11" spans="2:9" x14ac:dyDescent="0.3">
      <c r="B11" s="5" t="s">
        <v>15</v>
      </c>
      <c r="C11" s="6">
        <f>CLIMA_B!$G$7</f>
        <v>0.4483695652173913</v>
      </c>
      <c r="D11" s="7" t="str">
        <f t="shared" si="0"/>
        <v>En proceso</v>
      </c>
      <c r="E11" s="8">
        <f>CLIMA_B!$G$10</f>
        <v>46237</v>
      </c>
      <c r="F11" s="8">
        <f>CLIMA_B!$H$52</f>
        <v>46271</v>
      </c>
      <c r="G11" s="8">
        <f>CLIMA_B!$J$55</f>
        <v>0</v>
      </c>
      <c r="H11" s="7">
        <f>COUNTIFS(NoConformidades!$B:$B,B11,NoConformidades!$G:$G,"&lt;&gt;Cerrada")</f>
        <v>0</v>
      </c>
      <c r="I11" s="7">
        <f>COUNTIFS(ControlCambios!$C:$C,B11,ControlCambios!$G:$G,"Propuesto")</f>
        <v>0</v>
      </c>
    </row>
    <row r="12" spans="2:9" x14ac:dyDescent="0.3">
      <c r="B12" s="9" t="s">
        <v>16</v>
      </c>
      <c r="C12" s="10">
        <f>AVERAGE(C6:C11)</f>
        <v>0.44372307893672208</v>
      </c>
      <c r="D12" s="11"/>
      <c r="E12" s="11"/>
      <c r="F12" s="11"/>
      <c r="G12" s="11"/>
      <c r="H12" s="9">
        <f>SUM(H6:H11)</f>
        <v>0</v>
      </c>
      <c r="I12" s="9">
        <f>SUM(I6:I11)</f>
        <v>0</v>
      </c>
    </row>
    <row r="15" spans="2:9" x14ac:dyDescent="0.3">
      <c r="B15" s="12" t="s">
        <v>17</v>
      </c>
    </row>
    <row r="16" spans="2:9" x14ac:dyDescent="0.3">
      <c r="B16" s="13" t="s">
        <v>18</v>
      </c>
      <c r="C16" s="14" t="s">
        <v>19</v>
      </c>
      <c r="D16" s="15" t="s">
        <v>20</v>
      </c>
      <c r="E16" s="39"/>
      <c r="F16" s="39"/>
    </row>
    <row r="23" spans="5:5" x14ac:dyDescent="0.3">
      <c r="E23" s="47"/>
    </row>
    <row r="24" spans="5:5" x14ac:dyDescent="0.3">
      <c r="E24" s="48"/>
    </row>
    <row r="25" spans="5:5" x14ac:dyDescent="0.3">
      <c r="E25" s="48"/>
    </row>
    <row r="26" spans="5:5" x14ac:dyDescent="0.3">
      <c r="E26" s="49"/>
    </row>
    <row r="27" spans="5:5" x14ac:dyDescent="0.3">
      <c r="E27" s="48"/>
    </row>
    <row r="28" spans="5:5" x14ac:dyDescent="0.3">
      <c r="E28" s="49"/>
    </row>
    <row r="29" spans="5:5" x14ac:dyDescent="0.3">
      <c r="E29" s="48"/>
    </row>
    <row r="30" spans="5:5" x14ac:dyDescent="0.3">
      <c r="E30" s="48"/>
    </row>
    <row r="31" spans="5:5" x14ac:dyDescent="0.3">
      <c r="E31" s="48"/>
    </row>
    <row r="32" spans="5:5" x14ac:dyDescent="0.3">
      <c r="E32" s="49"/>
    </row>
    <row r="33" spans="5:5" x14ac:dyDescent="0.3">
      <c r="E33" s="48"/>
    </row>
    <row r="34" spans="5:5" x14ac:dyDescent="0.3">
      <c r="E34" s="48"/>
    </row>
    <row r="35" spans="5:5" x14ac:dyDescent="0.3">
      <c r="E35" s="48"/>
    </row>
    <row r="36" spans="5:5" x14ac:dyDescent="0.3">
      <c r="E36" s="48"/>
    </row>
    <row r="37" spans="5:5" x14ac:dyDescent="0.3">
      <c r="E37" s="48"/>
    </row>
    <row r="38" spans="5:5" x14ac:dyDescent="0.3">
      <c r="E38" s="48"/>
    </row>
  </sheetData>
  <mergeCells count="3">
    <mergeCell ref="B2:I2"/>
    <mergeCell ref="B3:I3"/>
    <mergeCell ref="E16:F16"/>
  </mergeCells>
  <conditionalFormatting sqref="C6:C11">
    <cfRule type="cellIs" dxfId="77" priority="2" operator="greaterThanOrEqual">
      <formula>1</formula>
    </cfRule>
    <cfRule type="cellIs" dxfId="76" priority="3" operator="between">
      <formula>0.001</formula>
      <formula>0.9999</formula>
    </cfRule>
    <cfRule type="cellIs" dxfId="75" priority="4" operator="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496"/>
    <pageSetUpPr fitToPage="1"/>
  </sheetPr>
  <dimension ref="B2:L56"/>
  <sheetViews>
    <sheetView showGridLines="0" topLeftCell="A22" zoomScale="85" zoomScaleNormal="85" workbookViewId="0">
      <selection activeCell="H13" sqref="H13"/>
    </sheetView>
  </sheetViews>
  <sheetFormatPr baseColWidth="10" defaultColWidth="8.6640625" defaultRowHeight="14.4" x14ac:dyDescent="0.3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7.44140625" style="16" customWidth="1"/>
    <col min="12" max="12" width="30" customWidth="1"/>
  </cols>
  <sheetData>
    <row r="2" spans="2:12" ht="17.25" customHeight="1" x14ac:dyDescent="0.3">
      <c r="B2" s="42" t="s">
        <v>21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12" x14ac:dyDescent="0.3">
      <c r="B4" s="17" t="s">
        <v>22</v>
      </c>
      <c r="C4" s="43" t="s">
        <v>183</v>
      </c>
      <c r="D4" s="43"/>
      <c r="E4" s="43"/>
      <c r="F4" s="17" t="s">
        <v>23</v>
      </c>
      <c r="G4" s="43" t="s">
        <v>10</v>
      </c>
      <c r="H4" s="43"/>
      <c r="I4" s="17" t="s">
        <v>24</v>
      </c>
      <c r="J4" s="43"/>
      <c r="K4" s="43"/>
      <c r="L4" s="43"/>
    </row>
    <row r="5" spans="2:12" x14ac:dyDescent="0.3">
      <c r="B5" s="17" t="s">
        <v>25</v>
      </c>
      <c r="C5" s="43" t="s">
        <v>47</v>
      </c>
      <c r="D5" s="43"/>
      <c r="E5" s="43"/>
      <c r="F5" s="17" t="s">
        <v>26</v>
      </c>
      <c r="G5" s="43" t="s">
        <v>27</v>
      </c>
      <c r="H5" s="43"/>
      <c r="I5" s="17" t="s">
        <v>28</v>
      </c>
      <c r="J5" s="44">
        <v>46234</v>
      </c>
      <c r="K5" s="44"/>
      <c r="L5" s="44"/>
    </row>
    <row r="7" spans="2:12" ht="21" customHeight="1" x14ac:dyDescent="0.3">
      <c r="B7" s="40" t="s">
        <v>29</v>
      </c>
      <c r="C7" s="40"/>
      <c r="D7" s="40"/>
      <c r="E7" s="40"/>
      <c r="F7" s="40"/>
      <c r="G7" s="41">
        <f>IFERROR(($D10*$F10+$D16*$F16+$D23*$F23+$D30*$F30+$D37*$F37+$D43*$F43+$D47*$F47+$D52*$F52)/($D10+$D16+$D23+$D30+$D37+$D43+$D47+$D52),0)</f>
        <v>0.36494252873563221</v>
      </c>
      <c r="H7" s="41"/>
      <c r="I7" s="41"/>
      <c r="J7" s="41"/>
      <c r="K7" s="41"/>
      <c r="L7" s="41"/>
    </row>
    <row r="9" spans="2:12" x14ac:dyDescent="0.3"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5</v>
      </c>
      <c r="H9" s="4" t="s">
        <v>35</v>
      </c>
      <c r="I9" s="4" t="s">
        <v>36</v>
      </c>
      <c r="J9" s="4" t="s">
        <v>37</v>
      </c>
      <c r="K9" s="4" t="s">
        <v>38</v>
      </c>
      <c r="L9" s="4" t="s">
        <v>39</v>
      </c>
    </row>
    <row r="10" spans="2:12" x14ac:dyDescent="0.3">
      <c r="B10" s="18"/>
      <c r="C10" s="19" t="s">
        <v>40</v>
      </c>
      <c r="D10" s="20">
        <f>SUMIF($E11:$E15,"&lt;&gt;N/A",$D11:$D15)</f>
        <v>11</v>
      </c>
      <c r="E10" s="18"/>
      <c r="F10" s="21">
        <f t="array" ref="F10">IFERROR(SUMPRODUCT(($E11:$E15&lt;&gt;"N/A")*$D11:$D15,IF($E11:$E15="N/A",0,$F11:$F15))/$D10,0)</f>
        <v>0.70454545454545459</v>
      </c>
      <c r="G10" s="22">
        <v>46237</v>
      </c>
      <c r="H10" s="22">
        <v>46240</v>
      </c>
      <c r="I10" s="22">
        <v>46203</v>
      </c>
      <c r="J10" s="50">
        <v>46211</v>
      </c>
      <c r="K10" s="1"/>
      <c r="L10" s="18"/>
    </row>
    <row r="11" spans="2:12" ht="26.25" customHeight="1" x14ac:dyDescent="0.3">
      <c r="B11" s="23" t="s">
        <v>41</v>
      </c>
      <c r="C11" s="24" t="s">
        <v>42</v>
      </c>
      <c r="D11" s="7">
        <v>1.5</v>
      </c>
      <c r="E11" s="7" t="s">
        <v>43</v>
      </c>
      <c r="F11" s="25">
        <f>IF($E11="N/A","",VLOOKUP($E11,AvanceTbl,2,FALSE()))</f>
        <v>1</v>
      </c>
      <c r="G11" s="8"/>
      <c r="H11" s="8"/>
      <c r="I11" s="8"/>
      <c r="J11" s="8"/>
      <c r="K11" s="7" t="s">
        <v>44</v>
      </c>
      <c r="L11" s="24"/>
    </row>
    <row r="12" spans="2:12" x14ac:dyDescent="0.3">
      <c r="B12" s="23" t="s">
        <v>45</v>
      </c>
      <c r="C12" s="24" t="s">
        <v>46</v>
      </c>
      <c r="D12" s="7">
        <v>5</v>
      </c>
      <c r="E12" s="7" t="s">
        <v>43</v>
      </c>
      <c r="F12" s="25">
        <f>IF($E12="N/A","",VLOOKUP($E12,AvanceTbl,2,FALSE()))</f>
        <v>1</v>
      </c>
      <c r="G12" s="8"/>
      <c r="H12" s="8"/>
      <c r="I12" s="8"/>
      <c r="J12" s="8"/>
      <c r="K12" s="7" t="s">
        <v>47</v>
      </c>
      <c r="L12" s="24"/>
    </row>
    <row r="13" spans="2:12" x14ac:dyDescent="0.3">
      <c r="B13" s="23" t="s">
        <v>48</v>
      </c>
      <c r="C13" s="24" t="s">
        <v>49</v>
      </c>
      <c r="D13" s="7">
        <v>4</v>
      </c>
      <c r="E13" s="7" t="s">
        <v>64</v>
      </c>
      <c r="F13" s="25" t="str">
        <f>IF($E13="N/A","",VLOOKUP($E13,AvanceTbl,2,FALSE()))</f>
        <v/>
      </c>
      <c r="G13" s="8"/>
      <c r="H13" s="8"/>
      <c r="I13" s="8"/>
      <c r="J13" s="8"/>
      <c r="K13" s="7" t="s">
        <v>47</v>
      </c>
      <c r="L13" s="24"/>
    </row>
    <row r="14" spans="2:12" x14ac:dyDescent="0.3">
      <c r="B14" s="23" t="s">
        <v>51</v>
      </c>
      <c r="C14" s="24" t="s">
        <v>52</v>
      </c>
      <c r="D14" s="7">
        <v>2</v>
      </c>
      <c r="E14" s="7" t="s">
        <v>50</v>
      </c>
      <c r="F14" s="25">
        <f>IF($E14="N/A","",VLOOKUP($E14,AvanceTbl,2,FALSE()))</f>
        <v>0</v>
      </c>
      <c r="G14" s="8"/>
      <c r="H14" s="8"/>
      <c r="I14" s="8"/>
      <c r="J14" s="8"/>
      <c r="K14" s="7" t="s">
        <v>47</v>
      </c>
      <c r="L14" s="24"/>
    </row>
    <row r="15" spans="2:12" x14ac:dyDescent="0.3">
      <c r="B15" s="23" t="s">
        <v>53</v>
      </c>
      <c r="C15" s="24" t="s">
        <v>54</v>
      </c>
      <c r="D15" s="7">
        <v>2.5</v>
      </c>
      <c r="E15" s="7" t="s">
        <v>72</v>
      </c>
      <c r="F15" s="25">
        <f>IF($E15="N/A","",VLOOKUP($E15,AvanceTbl,2,FALSE()))</f>
        <v>0.5</v>
      </c>
      <c r="G15" s="8"/>
      <c r="H15" s="8"/>
      <c r="I15" s="8"/>
      <c r="J15" s="8"/>
      <c r="K15" s="7" t="s">
        <v>44</v>
      </c>
      <c r="L15" s="24"/>
    </row>
    <row r="16" spans="2:12" x14ac:dyDescent="0.3">
      <c r="B16" s="18"/>
      <c r="C16" s="19" t="s">
        <v>55</v>
      </c>
      <c r="D16" s="20">
        <f>SUMIF($E17:$E22,"&lt;&gt;N/A",$D17:$D22)</f>
        <v>7</v>
      </c>
      <c r="E16" s="18"/>
      <c r="F16" s="21">
        <f t="array" ref="F16">IFERROR(SUMPRODUCT(($E17:$E22&lt;&gt;"N/A")*$D17:$D22,IF($E17:$E22="N/A",0,$F17:$F22))/$D16,0)</f>
        <v>0.75</v>
      </c>
      <c r="G16" s="22">
        <v>46259</v>
      </c>
      <c r="H16" s="22">
        <v>46260</v>
      </c>
      <c r="I16" s="18"/>
      <c r="J16" s="18"/>
      <c r="K16" s="1"/>
      <c r="L16" s="18"/>
    </row>
    <row r="17" spans="2:12" ht="26.25" customHeight="1" x14ac:dyDescent="0.3">
      <c r="B17" s="23" t="s">
        <v>56</v>
      </c>
      <c r="C17" s="24" t="s">
        <v>57</v>
      </c>
      <c r="D17" s="7">
        <v>1.5</v>
      </c>
      <c r="E17" s="7" t="s">
        <v>43</v>
      </c>
      <c r="F17" s="25">
        <f t="shared" ref="F17:F22" si="0">IF($E17="N/A","",VLOOKUP($E17,AvanceTbl,2,FALSE()))</f>
        <v>1</v>
      </c>
      <c r="G17" s="8"/>
      <c r="H17" s="8"/>
      <c r="I17" s="8"/>
      <c r="J17" s="8"/>
      <c r="K17" s="7" t="s">
        <v>44</v>
      </c>
      <c r="L17" s="24"/>
    </row>
    <row r="18" spans="2:12" x14ac:dyDescent="0.3">
      <c r="B18" s="23" t="s">
        <v>58</v>
      </c>
      <c r="C18" s="24" t="s">
        <v>59</v>
      </c>
      <c r="D18" s="7">
        <v>3</v>
      </c>
      <c r="E18" s="7" t="s">
        <v>43</v>
      </c>
      <c r="F18" s="25">
        <f t="shared" si="0"/>
        <v>1</v>
      </c>
      <c r="G18" s="8"/>
      <c r="H18" s="8"/>
      <c r="I18" s="8"/>
      <c r="J18" s="8"/>
      <c r="K18" s="7" t="s">
        <v>47</v>
      </c>
      <c r="L18" s="24"/>
    </row>
    <row r="19" spans="2:12" x14ac:dyDescent="0.3">
      <c r="B19" s="23" t="s">
        <v>60</v>
      </c>
      <c r="C19" s="24" t="s">
        <v>61</v>
      </c>
      <c r="D19" s="7">
        <v>3</v>
      </c>
      <c r="E19" s="7" t="s">
        <v>64</v>
      </c>
      <c r="F19" s="25" t="str">
        <f t="shared" si="0"/>
        <v/>
      </c>
      <c r="G19" s="8"/>
      <c r="H19" s="8"/>
      <c r="I19" s="8"/>
      <c r="J19" s="8"/>
      <c r="K19" s="7" t="s">
        <v>47</v>
      </c>
      <c r="L19" s="24"/>
    </row>
    <row r="20" spans="2:12" x14ac:dyDescent="0.3">
      <c r="B20" s="23" t="s">
        <v>62</v>
      </c>
      <c r="C20" s="24" t="s">
        <v>63</v>
      </c>
      <c r="D20" s="7">
        <v>2</v>
      </c>
      <c r="E20" s="7" t="s">
        <v>64</v>
      </c>
      <c r="F20" s="25" t="str">
        <f t="shared" si="0"/>
        <v/>
      </c>
      <c r="G20" s="8"/>
      <c r="H20" s="8"/>
      <c r="I20" s="8"/>
      <c r="J20" s="8"/>
      <c r="K20" s="7" t="s">
        <v>47</v>
      </c>
      <c r="L20" s="24"/>
    </row>
    <row r="21" spans="2:12" x14ac:dyDescent="0.3">
      <c r="B21" s="23" t="s">
        <v>65</v>
      </c>
      <c r="C21" s="24" t="s">
        <v>66</v>
      </c>
      <c r="D21" s="7">
        <v>1.5</v>
      </c>
      <c r="E21" s="7" t="s">
        <v>72</v>
      </c>
      <c r="F21" s="25">
        <f t="shared" si="0"/>
        <v>0.5</v>
      </c>
      <c r="G21" s="8"/>
      <c r="H21" s="8"/>
      <c r="I21" s="8"/>
      <c r="J21" s="8"/>
      <c r="K21" s="7" t="s">
        <v>47</v>
      </c>
      <c r="L21" s="24"/>
    </row>
    <row r="22" spans="2:12" x14ac:dyDescent="0.3">
      <c r="B22" s="23" t="s">
        <v>67</v>
      </c>
      <c r="C22" s="24" t="s">
        <v>68</v>
      </c>
      <c r="D22" s="7">
        <v>1</v>
      </c>
      <c r="E22" s="7" t="s">
        <v>50</v>
      </c>
      <c r="F22" s="25">
        <f t="shared" si="0"/>
        <v>0</v>
      </c>
      <c r="G22" s="8"/>
      <c r="H22" s="8"/>
      <c r="I22" s="8"/>
      <c r="J22" s="8"/>
      <c r="K22" s="7" t="s">
        <v>47</v>
      </c>
      <c r="L22" s="24"/>
    </row>
    <row r="23" spans="2:12" x14ac:dyDescent="0.3">
      <c r="B23" s="18"/>
      <c r="C23" s="19" t="s">
        <v>69</v>
      </c>
      <c r="D23" s="20">
        <f>SUMIF($E24:$E29,"&lt;&gt;N/A",$D24:$D29)</f>
        <v>28</v>
      </c>
      <c r="E23" s="18"/>
      <c r="F23" s="21">
        <f t="array" ref="F23">IFERROR(SUMPRODUCT(($E24:$E29&lt;&gt;"N/A")*$D24:$D29,IF($E24:$E29="N/A",0,$F24:$F29))/$D23,0)</f>
        <v>0.5</v>
      </c>
      <c r="G23" s="22">
        <v>46259</v>
      </c>
      <c r="H23" s="22">
        <v>46260</v>
      </c>
      <c r="I23" s="18"/>
      <c r="J23" s="18"/>
      <c r="K23" s="1"/>
      <c r="L23" s="18"/>
    </row>
    <row r="24" spans="2:12" x14ac:dyDescent="0.3">
      <c r="B24" s="23" t="s">
        <v>70</v>
      </c>
      <c r="C24" s="24" t="s">
        <v>71</v>
      </c>
      <c r="D24" s="7">
        <v>8</v>
      </c>
      <c r="E24" s="7" t="s">
        <v>72</v>
      </c>
      <c r="F24" s="25">
        <f t="shared" ref="F24:F29" si="1">IF($E24="N/A","",VLOOKUP($E24,AvanceTbl,2,FALSE()))</f>
        <v>0.5</v>
      </c>
      <c r="G24" s="8"/>
      <c r="H24" s="7"/>
      <c r="I24" s="8"/>
      <c r="J24" s="8"/>
      <c r="K24" s="7" t="s">
        <v>47</v>
      </c>
      <c r="L24" s="24"/>
    </row>
    <row r="25" spans="2:12" x14ac:dyDescent="0.3">
      <c r="B25" s="23" t="s">
        <v>73</v>
      </c>
      <c r="C25" s="24" t="s">
        <v>74</v>
      </c>
      <c r="D25" s="7">
        <v>8</v>
      </c>
      <c r="E25" s="7" t="s">
        <v>72</v>
      </c>
      <c r="F25" s="25">
        <f t="shared" si="1"/>
        <v>0.5</v>
      </c>
      <c r="G25" s="8"/>
      <c r="H25" s="7"/>
      <c r="I25" s="8"/>
      <c r="J25" s="8"/>
      <c r="K25" s="7" t="s">
        <v>47</v>
      </c>
      <c r="L25" s="24"/>
    </row>
    <row r="26" spans="2:12" x14ac:dyDescent="0.3">
      <c r="B26" s="23" t="s">
        <v>75</v>
      </c>
      <c r="C26" s="24" t="s">
        <v>76</v>
      </c>
      <c r="D26" s="7">
        <v>4</v>
      </c>
      <c r="E26" s="7" t="s">
        <v>43</v>
      </c>
      <c r="F26" s="25">
        <f t="shared" si="1"/>
        <v>1</v>
      </c>
      <c r="G26" s="8"/>
      <c r="H26" s="7"/>
      <c r="I26" s="8"/>
      <c r="J26" s="8"/>
      <c r="K26" s="7" t="s">
        <v>47</v>
      </c>
      <c r="L26" s="24"/>
    </row>
    <row r="27" spans="2:12" x14ac:dyDescent="0.3">
      <c r="B27" s="23" t="s">
        <v>77</v>
      </c>
      <c r="C27" s="24" t="s">
        <v>78</v>
      </c>
      <c r="D27" s="7">
        <v>4</v>
      </c>
      <c r="E27" s="7" t="s">
        <v>72</v>
      </c>
      <c r="F27" s="25">
        <f t="shared" si="1"/>
        <v>0.5</v>
      </c>
      <c r="G27" s="8"/>
      <c r="H27" s="7"/>
      <c r="I27" s="8"/>
      <c r="J27" s="8"/>
      <c r="K27" s="7" t="s">
        <v>47</v>
      </c>
      <c r="L27" s="24"/>
    </row>
    <row r="28" spans="2:12" x14ac:dyDescent="0.3">
      <c r="B28" s="23" t="s">
        <v>79</v>
      </c>
      <c r="C28" s="24" t="s">
        <v>80</v>
      </c>
      <c r="D28" s="7">
        <v>2</v>
      </c>
      <c r="E28" s="7" t="s">
        <v>50</v>
      </c>
      <c r="F28" s="25">
        <f t="shared" si="1"/>
        <v>0</v>
      </c>
      <c r="G28" s="8"/>
      <c r="H28" s="7"/>
      <c r="I28" s="8"/>
      <c r="J28" s="8"/>
      <c r="K28" s="7" t="s">
        <v>47</v>
      </c>
      <c r="L28" s="24"/>
    </row>
    <row r="29" spans="2:12" x14ac:dyDescent="0.3">
      <c r="B29" s="23" t="s">
        <v>81</v>
      </c>
      <c r="C29" s="24" t="s">
        <v>82</v>
      </c>
      <c r="D29" s="7">
        <v>2</v>
      </c>
      <c r="E29" s="7" t="s">
        <v>50</v>
      </c>
      <c r="F29" s="25">
        <f t="shared" si="1"/>
        <v>0</v>
      </c>
      <c r="G29" s="8"/>
      <c r="H29" s="7"/>
      <c r="I29" s="8"/>
      <c r="J29" s="8"/>
      <c r="K29" s="7" t="s">
        <v>47</v>
      </c>
      <c r="L29" s="24"/>
    </row>
    <row r="30" spans="2:12" x14ac:dyDescent="0.3">
      <c r="B30" s="18"/>
      <c r="C30" s="19" t="s">
        <v>83</v>
      </c>
      <c r="D30" s="20">
        <f>SUMIF($E31:$E36,"&lt;&gt;N/A",$D31:$D36)</f>
        <v>14</v>
      </c>
      <c r="E30" s="18"/>
      <c r="F30" s="21">
        <f t="array" ref="F30">IFERROR(SUMPRODUCT(($E31:$E36&lt;&gt;"N/A")*$D31:$D36,IF($E31:$E36="N/A",0,$F31:$F36))/$D30,0)</f>
        <v>0.2857142857142857</v>
      </c>
      <c r="G30" s="22">
        <v>46262</v>
      </c>
      <c r="H30" s="22">
        <v>46266</v>
      </c>
      <c r="I30" s="18"/>
      <c r="J30" s="18"/>
      <c r="K30" s="1"/>
      <c r="L30" s="18"/>
    </row>
    <row r="31" spans="2:12" x14ac:dyDescent="0.3">
      <c r="B31" s="23" t="s">
        <v>84</v>
      </c>
      <c r="C31" s="24" t="s">
        <v>85</v>
      </c>
      <c r="D31" s="7">
        <v>4</v>
      </c>
      <c r="E31" s="7" t="s">
        <v>64</v>
      </c>
      <c r="F31" s="25" t="str">
        <f t="shared" ref="F31:F36" si="2">IF($E31="N/A","",VLOOKUP($E31,AvanceTbl,2,FALSE()))</f>
        <v/>
      </c>
      <c r="G31" s="8"/>
      <c r="H31" s="8"/>
      <c r="I31" s="8"/>
      <c r="J31" s="8"/>
      <c r="K31" s="7" t="s">
        <v>47</v>
      </c>
      <c r="L31" s="24"/>
    </row>
    <row r="32" spans="2:12" x14ac:dyDescent="0.3">
      <c r="B32" s="23" t="s">
        <v>86</v>
      </c>
      <c r="C32" s="24" t="s">
        <v>87</v>
      </c>
      <c r="D32" s="7">
        <v>3</v>
      </c>
      <c r="E32" s="7" t="s">
        <v>72</v>
      </c>
      <c r="F32" s="25">
        <f t="shared" si="2"/>
        <v>0.5</v>
      </c>
      <c r="G32" s="8"/>
      <c r="H32" s="8"/>
      <c r="I32" s="8"/>
      <c r="J32" s="8"/>
      <c r="K32" s="7" t="s">
        <v>47</v>
      </c>
      <c r="L32" s="24"/>
    </row>
    <row r="33" spans="2:12" x14ac:dyDescent="0.3">
      <c r="B33" s="23" t="s">
        <v>88</v>
      </c>
      <c r="C33" s="24" t="s">
        <v>89</v>
      </c>
      <c r="D33" s="7">
        <v>2</v>
      </c>
      <c r="E33" s="7" t="s">
        <v>50</v>
      </c>
      <c r="F33" s="25">
        <f t="shared" si="2"/>
        <v>0</v>
      </c>
      <c r="G33" s="8"/>
      <c r="H33" s="8"/>
      <c r="I33" s="8"/>
      <c r="J33" s="8"/>
      <c r="K33" s="7" t="s">
        <v>47</v>
      </c>
      <c r="L33" s="24"/>
    </row>
    <row r="34" spans="2:12" x14ac:dyDescent="0.3">
      <c r="B34" s="23" t="s">
        <v>90</v>
      </c>
      <c r="C34" s="24" t="s">
        <v>91</v>
      </c>
      <c r="D34" s="7">
        <v>5</v>
      </c>
      <c r="E34" s="7" t="s">
        <v>72</v>
      </c>
      <c r="F34" s="25">
        <f t="shared" si="2"/>
        <v>0.5</v>
      </c>
      <c r="G34" s="8"/>
      <c r="H34" s="8"/>
      <c r="I34" s="8"/>
      <c r="J34" s="8"/>
      <c r="K34" s="7" t="s">
        <v>47</v>
      </c>
      <c r="L34" s="24"/>
    </row>
    <row r="35" spans="2:12" x14ac:dyDescent="0.3">
      <c r="B35" s="23" t="s">
        <v>92</v>
      </c>
      <c r="C35" s="24" t="s">
        <v>93</v>
      </c>
      <c r="D35" s="7">
        <v>2</v>
      </c>
      <c r="E35" s="7" t="s">
        <v>50</v>
      </c>
      <c r="F35" s="25">
        <f t="shared" si="2"/>
        <v>0</v>
      </c>
      <c r="G35" s="8"/>
      <c r="H35" s="8"/>
      <c r="I35" s="8"/>
      <c r="J35" s="8"/>
      <c r="K35" s="7" t="s">
        <v>47</v>
      </c>
      <c r="L35" s="24"/>
    </row>
    <row r="36" spans="2:12" x14ac:dyDescent="0.3">
      <c r="B36" s="23" t="s">
        <v>94</v>
      </c>
      <c r="C36" s="24" t="s">
        <v>95</v>
      </c>
      <c r="D36" s="7">
        <v>2</v>
      </c>
      <c r="E36" s="7" t="s">
        <v>50</v>
      </c>
      <c r="F36" s="25">
        <f t="shared" si="2"/>
        <v>0</v>
      </c>
      <c r="G36" s="8"/>
      <c r="H36" s="8"/>
      <c r="I36" s="8"/>
      <c r="J36" s="8"/>
      <c r="K36" s="7" t="s">
        <v>47</v>
      </c>
      <c r="L36" s="24"/>
    </row>
    <row r="37" spans="2:12" x14ac:dyDescent="0.3">
      <c r="B37" s="18"/>
      <c r="C37" s="19" t="s">
        <v>96</v>
      </c>
      <c r="D37" s="20">
        <f>SUMIF($E38:$E42,"&lt;&gt;N/A",$D38:$D42)</f>
        <v>5</v>
      </c>
      <c r="E37" s="18"/>
      <c r="F37" s="21">
        <f t="array" ref="F37">IFERROR(SUMPRODUCT(($E38:$E42&lt;&gt;"N/A")*$D38:$D42,IF($E38:$E42="N/A",0,$F38:$F42))/$D37,0)</f>
        <v>0.15</v>
      </c>
      <c r="G37" s="22">
        <v>46267</v>
      </c>
      <c r="H37" s="22">
        <v>46267</v>
      </c>
      <c r="I37" s="18"/>
      <c r="J37" s="18"/>
      <c r="K37" s="1"/>
      <c r="L37" s="18"/>
    </row>
    <row r="38" spans="2:12" x14ac:dyDescent="0.3">
      <c r="B38" s="23" t="s">
        <v>97</v>
      </c>
      <c r="C38" s="24" t="s">
        <v>98</v>
      </c>
      <c r="D38" s="7">
        <v>1.5</v>
      </c>
      <c r="E38" s="7" t="s">
        <v>72</v>
      </c>
      <c r="F38" s="25">
        <f>IF($E38="N/A","",VLOOKUP($E38,AvanceTbl,2,FALSE()))</f>
        <v>0.5</v>
      </c>
      <c r="G38" s="8"/>
      <c r="H38" s="8"/>
      <c r="I38" s="8"/>
      <c r="J38" s="8"/>
      <c r="K38" s="7" t="s">
        <v>47</v>
      </c>
      <c r="L38" s="24"/>
    </row>
    <row r="39" spans="2:12" x14ac:dyDescent="0.3">
      <c r="B39" s="23" t="s">
        <v>99</v>
      </c>
      <c r="C39" s="24" t="s">
        <v>100</v>
      </c>
      <c r="D39" s="7">
        <v>1.5</v>
      </c>
      <c r="E39" s="7" t="s">
        <v>50</v>
      </c>
      <c r="F39" s="25">
        <f>IF($E39="N/A","",VLOOKUP($E39,AvanceTbl,2,FALSE()))</f>
        <v>0</v>
      </c>
      <c r="G39" s="8"/>
      <c r="H39" s="8"/>
      <c r="I39" s="8"/>
      <c r="J39" s="8"/>
      <c r="K39" s="7" t="s">
        <v>47</v>
      </c>
      <c r="L39" s="24"/>
    </row>
    <row r="40" spans="2:12" x14ac:dyDescent="0.3">
      <c r="B40" s="23" t="s">
        <v>101</v>
      </c>
      <c r="C40" s="24" t="s">
        <v>102</v>
      </c>
      <c r="D40" s="7">
        <v>0.5</v>
      </c>
      <c r="E40" s="7" t="s">
        <v>50</v>
      </c>
      <c r="F40" s="25">
        <f>IF($E40="N/A","",VLOOKUP($E40,AvanceTbl,2,FALSE()))</f>
        <v>0</v>
      </c>
      <c r="G40" s="8"/>
      <c r="H40" s="8"/>
      <c r="I40" s="8"/>
      <c r="J40" s="8"/>
      <c r="K40" s="7" t="s">
        <v>47</v>
      </c>
      <c r="L40" s="24"/>
    </row>
    <row r="41" spans="2:12" x14ac:dyDescent="0.3">
      <c r="B41" s="23" t="s">
        <v>103</v>
      </c>
      <c r="C41" s="24" t="s">
        <v>104</v>
      </c>
      <c r="D41" s="7">
        <v>0.5</v>
      </c>
      <c r="E41" s="7" t="s">
        <v>50</v>
      </c>
      <c r="F41" s="25">
        <f>IF($E41="N/A","",VLOOKUP($E41,AvanceTbl,2,FALSE()))</f>
        <v>0</v>
      </c>
      <c r="G41" s="8"/>
      <c r="H41" s="8"/>
      <c r="I41" s="8"/>
      <c r="J41" s="8"/>
      <c r="K41" s="7" t="s">
        <v>47</v>
      </c>
      <c r="L41" s="24"/>
    </row>
    <row r="42" spans="2:12" x14ac:dyDescent="0.3">
      <c r="B42" s="23" t="s">
        <v>105</v>
      </c>
      <c r="C42" s="24" t="s">
        <v>106</v>
      </c>
      <c r="D42" s="7">
        <v>1</v>
      </c>
      <c r="E42" s="7" t="s">
        <v>50</v>
      </c>
      <c r="F42" s="25">
        <f>IF($E42="N/A","",VLOOKUP($E42,AvanceTbl,2,FALSE()))</f>
        <v>0</v>
      </c>
      <c r="G42" s="8"/>
      <c r="H42" s="8"/>
      <c r="I42" s="8"/>
      <c r="J42" s="8"/>
      <c r="K42" s="7" t="s">
        <v>44</v>
      </c>
      <c r="L42" s="24"/>
    </row>
    <row r="43" spans="2:12" x14ac:dyDescent="0.3">
      <c r="B43" s="18"/>
      <c r="C43" s="19" t="s">
        <v>107</v>
      </c>
      <c r="D43" s="20">
        <f>SUMIF($E44:$E46,"&lt;&gt;N/A",$D44:$D46)</f>
        <v>10</v>
      </c>
      <c r="E43" s="18"/>
      <c r="F43" s="21">
        <f t="array" ref="F43">IFERROR(SUMPRODUCT(($E44:$E46&lt;&gt;"N/A")*$D44:$D46,IF($E44:$E46="N/A",0,$F44:$F46))/$D43,0)</f>
        <v>0</v>
      </c>
      <c r="G43" s="22">
        <v>46267</v>
      </c>
      <c r="H43" s="22">
        <v>46267</v>
      </c>
      <c r="I43" s="18"/>
      <c r="J43" s="18"/>
      <c r="K43" s="1"/>
      <c r="L43" s="18"/>
    </row>
    <row r="44" spans="2:12" x14ac:dyDescent="0.3">
      <c r="B44" s="23" t="s">
        <v>108</v>
      </c>
      <c r="C44" s="24" t="s">
        <v>109</v>
      </c>
      <c r="D44" s="7">
        <v>5</v>
      </c>
      <c r="E44" s="7" t="s">
        <v>50</v>
      </c>
      <c r="F44" s="25">
        <f>IF($E44="N/A","",VLOOKUP($E44,AvanceTbl,2,FALSE()))</f>
        <v>0</v>
      </c>
      <c r="G44" s="8"/>
      <c r="H44" s="8"/>
      <c r="I44" s="8"/>
      <c r="J44" s="8"/>
      <c r="K44" s="7" t="s">
        <v>47</v>
      </c>
      <c r="L44" s="24"/>
    </row>
    <row r="45" spans="2:12" x14ac:dyDescent="0.3">
      <c r="B45" s="23" t="s">
        <v>110</v>
      </c>
      <c r="C45" s="24" t="s">
        <v>111</v>
      </c>
      <c r="D45" s="7">
        <v>3</v>
      </c>
      <c r="E45" s="7" t="s">
        <v>50</v>
      </c>
      <c r="F45" s="25">
        <f>IF($E45="N/A","",VLOOKUP($E45,AvanceTbl,2,FALSE()))</f>
        <v>0</v>
      </c>
      <c r="G45" s="8"/>
      <c r="H45" s="8"/>
      <c r="I45" s="8"/>
      <c r="J45" s="8"/>
      <c r="K45" s="7" t="s">
        <v>44</v>
      </c>
      <c r="L45" s="24"/>
    </row>
    <row r="46" spans="2:12" x14ac:dyDescent="0.3">
      <c r="B46" s="23" t="s">
        <v>112</v>
      </c>
      <c r="C46" s="24" t="s">
        <v>113</v>
      </c>
      <c r="D46" s="7">
        <v>2</v>
      </c>
      <c r="E46" s="7" t="s">
        <v>50</v>
      </c>
      <c r="F46" s="25">
        <f>IF($E46="N/A","",VLOOKUP($E46,AvanceTbl,2,FALSE()))</f>
        <v>0</v>
      </c>
      <c r="G46" s="8"/>
      <c r="H46" s="8"/>
      <c r="I46" s="8"/>
      <c r="J46" s="8"/>
      <c r="K46" s="7" t="s">
        <v>44</v>
      </c>
      <c r="L46" s="24"/>
    </row>
    <row r="47" spans="2:12" x14ac:dyDescent="0.3">
      <c r="B47" s="18"/>
      <c r="C47" s="19" t="s">
        <v>114</v>
      </c>
      <c r="D47" s="20">
        <f>SUMIF($E48:$E51,"&lt;&gt;N/A",$D48:$D51)</f>
        <v>5</v>
      </c>
      <c r="E47" s="18"/>
      <c r="F47" s="21">
        <f t="array" ref="F47">IFERROR(SUMPRODUCT(($E48:$E51&lt;&gt;"N/A")*$D48:$D51,IF($E48:$E51="N/A",0,$F48:$F51))/$D47,0)</f>
        <v>0</v>
      </c>
      <c r="G47" s="22">
        <v>46270</v>
      </c>
      <c r="H47" s="22">
        <v>46271</v>
      </c>
      <c r="I47" s="18"/>
      <c r="J47" s="18"/>
      <c r="K47" s="1"/>
      <c r="L47" s="18"/>
    </row>
    <row r="48" spans="2:12" x14ac:dyDescent="0.3">
      <c r="B48" s="23" t="s">
        <v>115</v>
      </c>
      <c r="C48" s="24" t="s">
        <v>116</v>
      </c>
      <c r="D48" s="7">
        <v>1.5</v>
      </c>
      <c r="E48" s="7" t="s">
        <v>50</v>
      </c>
      <c r="F48" s="25">
        <f>IF($E48="N/A","",VLOOKUP($E48,AvanceTbl,2,FALSE()))</f>
        <v>0</v>
      </c>
      <c r="G48" s="8"/>
      <c r="H48" s="8"/>
      <c r="I48" s="8"/>
      <c r="J48" s="8"/>
      <c r="K48" s="7" t="s">
        <v>47</v>
      </c>
      <c r="L48" s="24"/>
    </row>
    <row r="49" spans="2:12" x14ac:dyDescent="0.3">
      <c r="B49" s="23" t="s">
        <v>117</v>
      </c>
      <c r="C49" s="24" t="s">
        <v>118</v>
      </c>
      <c r="D49" s="7">
        <v>1</v>
      </c>
      <c r="E49" s="7" t="s">
        <v>50</v>
      </c>
      <c r="F49" s="25">
        <f>IF($E49="N/A","",VLOOKUP($E49,AvanceTbl,2,FALSE()))</f>
        <v>0</v>
      </c>
      <c r="G49" s="8"/>
      <c r="H49" s="8"/>
      <c r="I49" s="8"/>
      <c r="J49" s="8"/>
      <c r="K49" s="7" t="s">
        <v>47</v>
      </c>
      <c r="L49" s="24"/>
    </row>
    <row r="50" spans="2:12" x14ac:dyDescent="0.3">
      <c r="B50" s="23" t="s">
        <v>119</v>
      </c>
      <c r="C50" s="24" t="s">
        <v>120</v>
      </c>
      <c r="D50" s="7">
        <v>1.5</v>
      </c>
      <c r="E50" s="7" t="s">
        <v>50</v>
      </c>
      <c r="F50" s="25">
        <f>IF($E50="N/A","",VLOOKUP($E50,AvanceTbl,2,FALSE()))</f>
        <v>0</v>
      </c>
      <c r="G50" s="8"/>
      <c r="H50" s="8"/>
      <c r="I50" s="8"/>
      <c r="J50" s="8"/>
      <c r="K50" s="7" t="s">
        <v>47</v>
      </c>
      <c r="L50" s="24"/>
    </row>
    <row r="51" spans="2:12" x14ac:dyDescent="0.3">
      <c r="B51" s="23" t="s">
        <v>121</v>
      </c>
      <c r="C51" s="24" t="s">
        <v>122</v>
      </c>
      <c r="D51" s="7">
        <v>1</v>
      </c>
      <c r="E51" s="7" t="s">
        <v>50</v>
      </c>
      <c r="F51" s="25">
        <f>IF($E51="N/A","",VLOOKUP($E51,AvanceTbl,2,FALSE()))</f>
        <v>0</v>
      </c>
      <c r="G51" s="8"/>
      <c r="H51" s="8"/>
      <c r="I51" s="8"/>
      <c r="J51" s="8"/>
      <c r="K51" s="7" t="s">
        <v>44</v>
      </c>
      <c r="L51" s="24"/>
    </row>
    <row r="52" spans="2:12" x14ac:dyDescent="0.3">
      <c r="B52" s="18"/>
      <c r="C52" s="19" t="s">
        <v>123</v>
      </c>
      <c r="D52" s="20">
        <f>SUMIF($E53:$E56,"&lt;&gt;N/A",$D53:$D56)</f>
        <v>7</v>
      </c>
      <c r="E52" s="18"/>
      <c r="F52" s="21">
        <f t="array" ref="F52">IFERROR(SUMPRODUCT(($E53:$E56&lt;&gt;"N/A")*$D53:$D56,IF($E53:$E56="N/A",0,$F53:$F56))/$D52,0)</f>
        <v>0</v>
      </c>
      <c r="G52" s="22">
        <v>46271</v>
      </c>
      <c r="H52" s="22">
        <v>46271</v>
      </c>
      <c r="I52" s="18"/>
      <c r="J52" s="18"/>
      <c r="K52" s="1"/>
      <c r="L52" s="18"/>
    </row>
    <row r="53" spans="2:12" x14ac:dyDescent="0.3">
      <c r="B53" s="23" t="s">
        <v>124</v>
      </c>
      <c r="C53" s="24" t="s">
        <v>125</v>
      </c>
      <c r="D53" s="7">
        <v>2</v>
      </c>
      <c r="E53" s="7" t="s">
        <v>50</v>
      </c>
      <c r="F53" s="25">
        <f>IF($E53="N/A","",VLOOKUP($E53,AvanceTbl,2,FALSE()))</f>
        <v>0</v>
      </c>
      <c r="G53" s="8"/>
      <c r="H53" s="8"/>
      <c r="I53" s="8"/>
      <c r="J53" s="8"/>
      <c r="K53" s="7" t="s">
        <v>44</v>
      </c>
      <c r="L53" s="24"/>
    </row>
    <row r="54" spans="2:12" x14ac:dyDescent="0.3">
      <c r="B54" s="23" t="s">
        <v>126</v>
      </c>
      <c r="C54" s="24" t="s">
        <v>127</v>
      </c>
      <c r="D54" s="7">
        <v>2</v>
      </c>
      <c r="E54" s="7" t="s">
        <v>50</v>
      </c>
      <c r="F54" s="25">
        <f>IF($E54="N/A","",VLOOKUP($E54,AvanceTbl,2,FALSE()))</f>
        <v>0</v>
      </c>
      <c r="G54" s="8"/>
      <c r="H54" s="8"/>
      <c r="I54" s="8"/>
      <c r="J54" s="8"/>
      <c r="K54" s="7" t="s">
        <v>44</v>
      </c>
      <c r="L54" s="24"/>
    </row>
    <row r="55" spans="2:12" x14ac:dyDescent="0.3">
      <c r="B55" s="23" t="s">
        <v>128</v>
      </c>
      <c r="C55" s="24" t="s">
        <v>129</v>
      </c>
      <c r="D55" s="7">
        <v>2</v>
      </c>
      <c r="E55" s="7" t="s">
        <v>50</v>
      </c>
      <c r="F55" s="25">
        <f>IF($E55="N/A","",VLOOKUP($E55,AvanceTbl,2,FALSE()))</f>
        <v>0</v>
      </c>
      <c r="G55" s="8"/>
      <c r="H55" s="8"/>
      <c r="I55" s="8"/>
      <c r="J55" s="8"/>
      <c r="K55" s="7" t="s">
        <v>44</v>
      </c>
      <c r="L55" s="24"/>
    </row>
    <row r="56" spans="2:12" x14ac:dyDescent="0.3">
      <c r="B56" s="23" t="s">
        <v>130</v>
      </c>
      <c r="C56" s="24" t="s">
        <v>131</v>
      </c>
      <c r="D56" s="7">
        <v>1</v>
      </c>
      <c r="E56" s="7" t="s">
        <v>50</v>
      </c>
      <c r="F56" s="25">
        <f>IF($E56="N/A","",VLOOKUP($E56,AvanceTbl,2,FALSE()))</f>
        <v>0</v>
      </c>
      <c r="G56" s="8"/>
      <c r="H56" s="8"/>
      <c r="I56" s="8"/>
      <c r="J56" s="8"/>
      <c r="K56" s="7" t="s">
        <v>132</v>
      </c>
      <c r="L56" s="2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74" priority="2" operator="equal">
      <formula>"Completado"</formula>
    </cfRule>
    <cfRule type="cellIs" dxfId="73" priority="3" operator="equal">
      <formula>"En proceso"</formula>
    </cfRule>
    <cfRule type="cellIs" dxfId="72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{C597ACF7-75AF-48BD-B3A9-3FA3E58EF3BC}</x14:id>
        </ext>
      </extLst>
    </cfRule>
  </conditionalFormatting>
  <conditionalFormatting sqref="G11:G15">
    <cfRule type="expression" dxfId="71" priority="6">
      <formula>AND($G11&lt;&gt;"",$G11&lt;TODAY(),$E11&lt;&gt;"Completado",$E11&lt;&gt;"N/A")</formula>
    </cfRule>
  </conditionalFormatting>
  <conditionalFormatting sqref="G17:G22">
    <cfRule type="expression" dxfId="70" priority="7">
      <formula>AND($G17&lt;&gt;"",$G17&lt;TODAY(),$E17&lt;&gt;"Completado",$E17&lt;&gt;"N/A")</formula>
    </cfRule>
  </conditionalFormatting>
  <conditionalFormatting sqref="G24:G29">
    <cfRule type="expression" dxfId="69" priority="8">
      <formula>AND($G24&lt;&gt;"",$G24&lt;TODAY(),$E24&lt;&gt;"Completado",$E24&lt;&gt;"N/A")</formula>
    </cfRule>
  </conditionalFormatting>
  <conditionalFormatting sqref="G31:G36">
    <cfRule type="expression" dxfId="68" priority="9">
      <formula>AND($G31&lt;&gt;"",$G31&lt;TODAY(),$E31&lt;&gt;"Completado",$E31&lt;&gt;"N/A")</formula>
    </cfRule>
  </conditionalFormatting>
  <conditionalFormatting sqref="G38:G42">
    <cfRule type="expression" dxfId="67" priority="10">
      <formula>AND($G38&lt;&gt;"",$G38&lt;TODAY(),$E38&lt;&gt;"Completado",$E38&lt;&gt;"N/A")</formula>
    </cfRule>
  </conditionalFormatting>
  <conditionalFormatting sqref="G44:G46">
    <cfRule type="expression" dxfId="66" priority="11">
      <formula>AND($G44&lt;&gt;"",$G44&lt;TODAY(),$E44&lt;&gt;"Completado",$E44&lt;&gt;"N/A")</formula>
    </cfRule>
  </conditionalFormatting>
  <conditionalFormatting sqref="G48:G51">
    <cfRule type="expression" dxfId="65" priority="12">
      <formula>AND($G48&lt;&gt;"",$G48&lt;TODAY(),$E48&lt;&gt;"Completado",$E48&lt;&gt;"N/A")</formula>
    </cfRule>
  </conditionalFormatting>
  <conditionalFormatting sqref="G53:G56">
    <cfRule type="expression" dxfId="64" priority="13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100-000000000000}">
      <formula1>EstadoList</formula1>
      <formula2>0</formula2>
    </dataValidation>
  </dataValidations>
  <pageMargins left="0.25" right="0.25" top="0.75" bottom="0.75" header="0.511811023622047" footer="0.511811023622047"/>
  <pageSetup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97ACF7-75AF-48BD-B3A9-3FA3E58EF3BC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496"/>
    <pageSetUpPr fitToPage="1"/>
  </sheetPr>
  <dimension ref="B2:L56"/>
  <sheetViews>
    <sheetView showGridLines="0" zoomScale="85" zoomScaleNormal="85" workbookViewId="0">
      <selection activeCell="C5" sqref="C5:E5"/>
    </sheetView>
  </sheetViews>
  <sheetFormatPr baseColWidth="10" defaultColWidth="8.6640625" defaultRowHeight="14.4" x14ac:dyDescent="0.3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25" customHeight="1" x14ac:dyDescent="0.3">
      <c r="B2" s="42" t="s">
        <v>133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12" x14ac:dyDescent="0.3">
      <c r="B4" s="17" t="s">
        <v>22</v>
      </c>
      <c r="C4" t="s">
        <v>183</v>
      </c>
      <c r="F4" s="17" t="s">
        <v>23</v>
      </c>
      <c r="G4" s="43" t="s">
        <v>11</v>
      </c>
      <c r="H4" s="43"/>
      <c r="I4" s="17" t="s">
        <v>24</v>
      </c>
      <c r="J4" s="43"/>
      <c r="K4" s="43"/>
      <c r="L4" s="43"/>
    </row>
    <row r="5" spans="2:12" ht="14.25" customHeight="1" x14ac:dyDescent="0.3">
      <c r="B5" s="17" t="s">
        <v>25</v>
      </c>
      <c r="C5" s="43" t="s">
        <v>47</v>
      </c>
      <c r="D5" s="43"/>
      <c r="E5" s="43"/>
      <c r="F5" s="17" t="s">
        <v>134</v>
      </c>
      <c r="G5" s="43" t="s">
        <v>135</v>
      </c>
      <c r="H5" s="43"/>
      <c r="I5" s="17" t="s">
        <v>28</v>
      </c>
      <c r="J5" s="44">
        <v>46234</v>
      </c>
      <c r="K5" s="44"/>
      <c r="L5" s="44"/>
    </row>
    <row r="7" spans="2:12" ht="21" customHeight="1" x14ac:dyDescent="0.3">
      <c r="B7" s="40" t="s">
        <v>29</v>
      </c>
      <c r="C7" s="40"/>
      <c r="D7" s="40"/>
      <c r="E7" s="40"/>
      <c r="F7" s="40"/>
      <c r="G7" s="41">
        <f>IFERROR(($D10*$F10+$D16*$F16+$D23*$F23+$D30*$F30+$D37*$F37+$D43*$F43+$D47*$F47+$D52*$F52)/($D10+$D16+$D23+$D30+$D37+$D43+$D47+$D52),0)</f>
        <v>0.36494252873563221</v>
      </c>
      <c r="H7" s="41"/>
      <c r="I7" s="41"/>
      <c r="J7" s="41"/>
      <c r="K7" s="41"/>
      <c r="L7" s="41"/>
    </row>
    <row r="9" spans="2:12" x14ac:dyDescent="0.3"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5</v>
      </c>
      <c r="H9" s="4" t="s">
        <v>35</v>
      </c>
      <c r="I9" s="4" t="s">
        <v>36</v>
      </c>
      <c r="J9" s="4" t="s">
        <v>37</v>
      </c>
      <c r="K9" s="4" t="s">
        <v>38</v>
      </c>
      <c r="L9" s="4" t="s">
        <v>39</v>
      </c>
    </row>
    <row r="10" spans="2:12" x14ac:dyDescent="0.3">
      <c r="B10" s="18"/>
      <c r="C10" s="19" t="s">
        <v>40</v>
      </c>
      <c r="D10" s="20">
        <f>SUMIF($E11:$E15,"&lt;&gt;N/A",$D11:$D15)</f>
        <v>11</v>
      </c>
      <c r="E10" s="18"/>
      <c r="F10" s="21">
        <f t="array" ref="F10">IFERROR(SUMPRODUCT(($E11:$E15&lt;&gt;"N/A")*$D11:$D15,IF($E11:$E15="N/A",0,$F11:$F15))/$D10,0)</f>
        <v>0.70454545454545459</v>
      </c>
      <c r="G10" s="22">
        <v>46237</v>
      </c>
      <c r="H10" s="22">
        <v>46240</v>
      </c>
      <c r="I10" s="22">
        <v>46203</v>
      </c>
      <c r="J10" s="22">
        <v>46211</v>
      </c>
      <c r="K10" s="18"/>
      <c r="L10" s="18"/>
    </row>
    <row r="11" spans="2:12" ht="26.25" customHeight="1" x14ac:dyDescent="0.3">
      <c r="B11" s="23" t="s">
        <v>41</v>
      </c>
      <c r="C11" s="24" t="s">
        <v>42</v>
      </c>
      <c r="D11" s="7">
        <v>1.5</v>
      </c>
      <c r="E11" s="7" t="s">
        <v>43</v>
      </c>
      <c r="F11" s="25">
        <f>IF($E11="N/A","",VLOOKUP($E11,AvanceTbl,2,FALSE()))</f>
        <v>1</v>
      </c>
      <c r="G11" s="8"/>
      <c r="H11" s="8"/>
      <c r="I11" s="8"/>
      <c r="J11" s="8"/>
      <c r="K11" s="7" t="s">
        <v>44</v>
      </c>
      <c r="L11" s="24"/>
    </row>
    <row r="12" spans="2:12" x14ac:dyDescent="0.3">
      <c r="B12" s="23" t="s">
        <v>45</v>
      </c>
      <c r="C12" s="24" t="s">
        <v>46</v>
      </c>
      <c r="D12" s="7">
        <v>5</v>
      </c>
      <c r="E12" s="7" t="s">
        <v>43</v>
      </c>
      <c r="F12" s="25">
        <f>IF($E12="N/A","",VLOOKUP($E12,AvanceTbl,2,FALSE()))</f>
        <v>1</v>
      </c>
      <c r="G12" s="8"/>
      <c r="H12" s="8"/>
      <c r="I12" s="8"/>
      <c r="J12" s="8"/>
      <c r="K12" s="7" t="s">
        <v>47</v>
      </c>
      <c r="L12" s="24"/>
    </row>
    <row r="13" spans="2:12" x14ac:dyDescent="0.3">
      <c r="B13" s="23" t="s">
        <v>48</v>
      </c>
      <c r="C13" s="24" t="s">
        <v>49</v>
      </c>
      <c r="D13" s="7">
        <v>4</v>
      </c>
      <c r="E13" s="7" t="s">
        <v>64</v>
      </c>
      <c r="F13" s="25" t="str">
        <f>IF($E13="N/A","",VLOOKUP($E13,AvanceTbl,2,FALSE()))</f>
        <v/>
      </c>
      <c r="G13" s="8"/>
      <c r="H13" s="8"/>
      <c r="I13" s="8"/>
      <c r="J13" s="8"/>
      <c r="K13" s="7" t="s">
        <v>47</v>
      </c>
      <c r="L13" s="24"/>
    </row>
    <row r="14" spans="2:12" x14ac:dyDescent="0.3">
      <c r="B14" s="23" t="s">
        <v>51</v>
      </c>
      <c r="C14" s="24" t="s">
        <v>52</v>
      </c>
      <c r="D14" s="7">
        <v>2</v>
      </c>
      <c r="E14" s="7" t="s">
        <v>50</v>
      </c>
      <c r="F14" s="25">
        <f>IF($E14="N/A","",VLOOKUP($E14,AvanceTbl,2,FALSE()))</f>
        <v>0</v>
      </c>
      <c r="G14" s="8"/>
      <c r="H14" s="8"/>
      <c r="I14" s="8"/>
      <c r="J14" s="8"/>
      <c r="K14" s="7" t="s">
        <v>47</v>
      </c>
      <c r="L14" s="24"/>
    </row>
    <row r="15" spans="2:12" x14ac:dyDescent="0.3">
      <c r="B15" s="23" t="s">
        <v>53</v>
      </c>
      <c r="C15" s="24" t="s">
        <v>54</v>
      </c>
      <c r="D15" s="7">
        <v>2.5</v>
      </c>
      <c r="E15" s="7" t="s">
        <v>72</v>
      </c>
      <c r="F15" s="25">
        <f>IF($E15="N/A","",VLOOKUP($E15,AvanceTbl,2,FALSE()))</f>
        <v>0.5</v>
      </c>
      <c r="G15" s="8"/>
      <c r="H15" s="8"/>
      <c r="I15" s="8"/>
      <c r="J15" s="8"/>
      <c r="K15" s="7" t="s">
        <v>44</v>
      </c>
      <c r="L15" s="24"/>
    </row>
    <row r="16" spans="2:12" x14ac:dyDescent="0.3">
      <c r="B16" s="18"/>
      <c r="C16" s="19" t="s">
        <v>55</v>
      </c>
      <c r="D16" s="20">
        <f>SUMIF($E17:$E22,"&lt;&gt;N/A",$D17:$D22)</f>
        <v>7</v>
      </c>
      <c r="E16" s="18"/>
      <c r="F16" s="21">
        <f t="array" ref="F16">IFERROR(SUMPRODUCT(($E17:$E22&lt;&gt;"N/A")*$D17:$D22,IF($E17:$E22="N/A",0,$F17:$F22))/$D16,0)</f>
        <v>0.75</v>
      </c>
      <c r="G16" s="22">
        <v>46259</v>
      </c>
      <c r="H16" s="22">
        <v>46260</v>
      </c>
      <c r="I16" s="26">
        <v>46206</v>
      </c>
      <c r="J16" s="18"/>
      <c r="K16" s="1"/>
      <c r="L16" s="18"/>
    </row>
    <row r="17" spans="2:12" ht="26.25" customHeight="1" x14ac:dyDescent="0.3">
      <c r="B17" s="23" t="s">
        <v>56</v>
      </c>
      <c r="C17" s="24" t="s">
        <v>57</v>
      </c>
      <c r="D17" s="7">
        <v>1.5</v>
      </c>
      <c r="E17" s="7" t="s">
        <v>43</v>
      </c>
      <c r="F17" s="25">
        <f t="shared" ref="F17:F22" si="0">IF($E17="N/A","",VLOOKUP($E17,AvanceTbl,2,FALSE()))</f>
        <v>1</v>
      </c>
      <c r="G17" s="8"/>
      <c r="H17" s="8"/>
      <c r="I17" s="8"/>
      <c r="J17" s="8"/>
      <c r="K17" s="7" t="s">
        <v>44</v>
      </c>
      <c r="L17" s="24"/>
    </row>
    <row r="18" spans="2:12" x14ac:dyDescent="0.3">
      <c r="B18" s="23" t="s">
        <v>58</v>
      </c>
      <c r="C18" s="24" t="s">
        <v>59</v>
      </c>
      <c r="D18" s="7">
        <v>3</v>
      </c>
      <c r="E18" s="7" t="s">
        <v>43</v>
      </c>
      <c r="F18" s="25">
        <f t="shared" si="0"/>
        <v>1</v>
      </c>
      <c r="G18" s="8"/>
      <c r="H18" s="8"/>
      <c r="I18" s="8"/>
      <c r="J18" s="8"/>
      <c r="K18" s="7" t="s">
        <v>47</v>
      </c>
      <c r="L18" s="24"/>
    </row>
    <row r="19" spans="2:12" x14ac:dyDescent="0.3">
      <c r="B19" s="23" t="s">
        <v>60</v>
      </c>
      <c r="C19" s="24" t="s">
        <v>61</v>
      </c>
      <c r="D19" s="7">
        <v>3</v>
      </c>
      <c r="E19" s="7" t="s">
        <v>64</v>
      </c>
      <c r="F19" s="25" t="str">
        <f t="shared" si="0"/>
        <v/>
      </c>
      <c r="G19" s="8"/>
      <c r="H19" s="8"/>
      <c r="I19" s="8"/>
      <c r="J19" s="8"/>
      <c r="K19" s="7" t="s">
        <v>47</v>
      </c>
      <c r="L19" s="24"/>
    </row>
    <row r="20" spans="2:12" x14ac:dyDescent="0.3">
      <c r="B20" s="23" t="s">
        <v>62</v>
      </c>
      <c r="C20" s="24" t="s">
        <v>63</v>
      </c>
      <c r="D20" s="7">
        <v>2</v>
      </c>
      <c r="E20" s="7" t="s">
        <v>64</v>
      </c>
      <c r="F20" s="25" t="str">
        <f t="shared" si="0"/>
        <v/>
      </c>
      <c r="G20" s="8"/>
      <c r="H20" s="8"/>
      <c r="I20" s="8"/>
      <c r="J20" s="8"/>
      <c r="K20" s="7" t="s">
        <v>47</v>
      </c>
      <c r="L20" s="24"/>
    </row>
    <row r="21" spans="2:12" x14ac:dyDescent="0.3">
      <c r="B21" s="23" t="s">
        <v>65</v>
      </c>
      <c r="C21" s="24" t="s">
        <v>66</v>
      </c>
      <c r="D21" s="7">
        <v>1.5</v>
      </c>
      <c r="E21" s="7" t="s">
        <v>72</v>
      </c>
      <c r="F21" s="25">
        <f t="shared" si="0"/>
        <v>0.5</v>
      </c>
      <c r="G21" s="8"/>
      <c r="H21" s="8"/>
      <c r="I21" s="8"/>
      <c r="J21" s="8"/>
      <c r="K21" s="7" t="s">
        <v>47</v>
      </c>
      <c r="L21" s="24"/>
    </row>
    <row r="22" spans="2:12" x14ac:dyDescent="0.3">
      <c r="B22" s="23" t="s">
        <v>67</v>
      </c>
      <c r="C22" s="24" t="s">
        <v>68</v>
      </c>
      <c r="D22" s="7">
        <v>1</v>
      </c>
      <c r="E22" s="7" t="s">
        <v>50</v>
      </c>
      <c r="F22" s="25">
        <f t="shared" si="0"/>
        <v>0</v>
      </c>
      <c r="G22" s="8"/>
      <c r="H22" s="8"/>
      <c r="I22" s="8"/>
      <c r="J22" s="8"/>
      <c r="K22" s="7" t="s">
        <v>47</v>
      </c>
      <c r="L22" s="24"/>
    </row>
    <row r="23" spans="2:12" x14ac:dyDescent="0.3">
      <c r="B23" s="18"/>
      <c r="C23" s="19" t="s">
        <v>69</v>
      </c>
      <c r="D23" s="20">
        <f>SUMIF($E24:$E29,"&lt;&gt;N/A",$D24:$D29)</f>
        <v>28</v>
      </c>
      <c r="E23" s="18"/>
      <c r="F23" s="21">
        <f t="array" ref="F23">IFERROR(SUMPRODUCT(($E24:$E29&lt;&gt;"N/A")*$D24:$D29,IF($E24:$E29="N/A",0,$F24:$F29))/$D23,0)</f>
        <v>0.5</v>
      </c>
      <c r="G23" s="22">
        <v>46259</v>
      </c>
      <c r="H23" s="22">
        <v>46260</v>
      </c>
      <c r="I23" s="18"/>
      <c r="J23" s="18"/>
      <c r="K23" s="1"/>
      <c r="L23" s="18"/>
    </row>
    <row r="24" spans="2:12" x14ac:dyDescent="0.3">
      <c r="B24" s="23" t="s">
        <v>70</v>
      </c>
      <c r="C24" s="24" t="s">
        <v>71</v>
      </c>
      <c r="D24" s="7">
        <v>8</v>
      </c>
      <c r="E24" s="7" t="s">
        <v>72</v>
      </c>
      <c r="F24" s="25">
        <f t="shared" ref="F24:F29" si="1">IF($E24="N/A","",VLOOKUP($E24,AvanceTbl,2,FALSE()))</f>
        <v>0.5</v>
      </c>
      <c r="G24" s="8"/>
      <c r="H24" s="8"/>
      <c r="I24" s="8"/>
      <c r="J24" s="8"/>
      <c r="K24" s="7" t="s">
        <v>47</v>
      </c>
      <c r="L24" s="24"/>
    </row>
    <row r="25" spans="2:12" x14ac:dyDescent="0.3">
      <c r="B25" s="23" t="s">
        <v>73</v>
      </c>
      <c r="C25" s="24" t="s">
        <v>74</v>
      </c>
      <c r="D25" s="7">
        <v>8</v>
      </c>
      <c r="E25" s="7" t="s">
        <v>72</v>
      </c>
      <c r="F25" s="25">
        <f t="shared" si="1"/>
        <v>0.5</v>
      </c>
      <c r="G25" s="8"/>
      <c r="H25" s="8"/>
      <c r="I25" s="8"/>
      <c r="J25" s="8"/>
      <c r="K25" s="7" t="s">
        <v>47</v>
      </c>
      <c r="L25" s="24"/>
    </row>
    <row r="26" spans="2:12" x14ac:dyDescent="0.3">
      <c r="B26" s="23" t="s">
        <v>75</v>
      </c>
      <c r="C26" s="24" t="s">
        <v>76</v>
      </c>
      <c r="D26" s="7">
        <v>4</v>
      </c>
      <c r="E26" s="7" t="s">
        <v>43</v>
      </c>
      <c r="F26" s="25">
        <f t="shared" si="1"/>
        <v>1</v>
      </c>
      <c r="G26" s="8"/>
      <c r="H26" s="8"/>
      <c r="I26" s="8"/>
      <c r="J26" s="8"/>
      <c r="K26" s="7" t="s">
        <v>47</v>
      </c>
      <c r="L26" s="24"/>
    </row>
    <row r="27" spans="2:12" x14ac:dyDescent="0.3">
      <c r="B27" s="23" t="s">
        <v>77</v>
      </c>
      <c r="C27" s="24" t="s">
        <v>78</v>
      </c>
      <c r="D27" s="7">
        <v>4</v>
      </c>
      <c r="E27" s="7" t="s">
        <v>72</v>
      </c>
      <c r="F27" s="25">
        <f t="shared" si="1"/>
        <v>0.5</v>
      </c>
      <c r="G27" s="8"/>
      <c r="H27" s="8"/>
      <c r="I27" s="8"/>
      <c r="J27" s="8"/>
      <c r="K27" s="7" t="s">
        <v>47</v>
      </c>
      <c r="L27" s="24"/>
    </row>
    <row r="28" spans="2:12" x14ac:dyDescent="0.3">
      <c r="B28" s="23" t="s">
        <v>79</v>
      </c>
      <c r="C28" s="24" t="s">
        <v>80</v>
      </c>
      <c r="D28" s="7">
        <v>2</v>
      </c>
      <c r="E28" s="7" t="s">
        <v>50</v>
      </c>
      <c r="F28" s="25">
        <f t="shared" si="1"/>
        <v>0</v>
      </c>
      <c r="G28" s="8"/>
      <c r="H28" s="8"/>
      <c r="I28" s="8"/>
      <c r="J28" s="8"/>
      <c r="K28" s="7" t="s">
        <v>47</v>
      </c>
      <c r="L28" s="24"/>
    </row>
    <row r="29" spans="2:12" x14ac:dyDescent="0.3">
      <c r="B29" s="23" t="s">
        <v>81</v>
      </c>
      <c r="C29" s="24" t="s">
        <v>82</v>
      </c>
      <c r="D29" s="7">
        <v>2</v>
      </c>
      <c r="E29" s="7" t="s">
        <v>50</v>
      </c>
      <c r="F29" s="25">
        <f t="shared" si="1"/>
        <v>0</v>
      </c>
      <c r="G29" s="8"/>
      <c r="H29" s="8"/>
      <c r="I29" s="8"/>
      <c r="J29" s="8"/>
      <c r="K29" s="7" t="s">
        <v>47</v>
      </c>
      <c r="L29" s="24"/>
    </row>
    <row r="30" spans="2:12" x14ac:dyDescent="0.3">
      <c r="B30" s="18"/>
      <c r="C30" s="19" t="s">
        <v>83</v>
      </c>
      <c r="D30" s="20">
        <f>SUMIF($E31:$E36,"&lt;&gt;N/A",$D31:$D36)</f>
        <v>14</v>
      </c>
      <c r="E30" s="18"/>
      <c r="F30" s="21">
        <f t="array" ref="F30">IFERROR(SUMPRODUCT(($E31:$E36&lt;&gt;"N/A")*$D31:$D36,IF($E31:$E36="N/A",0,$F31:$F36))/$D30,0)</f>
        <v>0.2857142857142857</v>
      </c>
      <c r="G30" s="22">
        <v>46262</v>
      </c>
      <c r="H30" s="22">
        <v>46266</v>
      </c>
      <c r="I30" s="18"/>
      <c r="J30" s="18"/>
      <c r="K30" s="1"/>
      <c r="L30" s="18"/>
    </row>
    <row r="31" spans="2:12" x14ac:dyDescent="0.3">
      <c r="B31" s="23" t="s">
        <v>84</v>
      </c>
      <c r="C31" s="24" t="s">
        <v>85</v>
      </c>
      <c r="D31" s="7">
        <v>4</v>
      </c>
      <c r="E31" s="7" t="s">
        <v>64</v>
      </c>
      <c r="F31" s="25" t="str">
        <f t="shared" ref="F31:F36" si="2">IF($E31="N/A","",VLOOKUP($E31,AvanceTbl,2,FALSE()))</f>
        <v/>
      </c>
      <c r="G31" s="8"/>
      <c r="H31" s="8"/>
      <c r="I31" s="8"/>
      <c r="J31" s="8"/>
      <c r="K31" s="7" t="s">
        <v>47</v>
      </c>
      <c r="L31" s="24"/>
    </row>
    <row r="32" spans="2:12" x14ac:dyDescent="0.3">
      <c r="B32" s="23" t="s">
        <v>86</v>
      </c>
      <c r="C32" s="24" t="s">
        <v>87</v>
      </c>
      <c r="D32" s="7">
        <v>3</v>
      </c>
      <c r="E32" s="7" t="s">
        <v>72</v>
      </c>
      <c r="F32" s="25">
        <f t="shared" si="2"/>
        <v>0.5</v>
      </c>
      <c r="G32" s="8"/>
      <c r="H32" s="8"/>
      <c r="I32" s="8"/>
      <c r="J32" s="8"/>
      <c r="K32" s="7" t="s">
        <v>47</v>
      </c>
      <c r="L32" s="24"/>
    </row>
    <row r="33" spans="2:12" x14ac:dyDescent="0.3">
      <c r="B33" s="23" t="s">
        <v>88</v>
      </c>
      <c r="C33" s="24" t="s">
        <v>89</v>
      </c>
      <c r="D33" s="7">
        <v>2</v>
      </c>
      <c r="E33" s="7" t="s">
        <v>50</v>
      </c>
      <c r="F33" s="25">
        <f t="shared" si="2"/>
        <v>0</v>
      </c>
      <c r="G33" s="8"/>
      <c r="H33" s="8"/>
      <c r="I33" s="8"/>
      <c r="J33" s="8"/>
      <c r="K33" s="7" t="s">
        <v>47</v>
      </c>
      <c r="L33" s="24"/>
    </row>
    <row r="34" spans="2:12" x14ac:dyDescent="0.3">
      <c r="B34" s="23" t="s">
        <v>90</v>
      </c>
      <c r="C34" s="24" t="s">
        <v>91</v>
      </c>
      <c r="D34" s="7">
        <v>5</v>
      </c>
      <c r="E34" s="7" t="s">
        <v>72</v>
      </c>
      <c r="F34" s="25">
        <f t="shared" si="2"/>
        <v>0.5</v>
      </c>
      <c r="G34" s="8"/>
      <c r="H34" s="8"/>
      <c r="I34" s="8"/>
      <c r="J34" s="8"/>
      <c r="K34" s="7" t="s">
        <v>47</v>
      </c>
      <c r="L34" s="24"/>
    </row>
    <row r="35" spans="2:12" x14ac:dyDescent="0.3">
      <c r="B35" s="23" t="s">
        <v>92</v>
      </c>
      <c r="C35" s="24" t="s">
        <v>93</v>
      </c>
      <c r="D35" s="7">
        <v>2</v>
      </c>
      <c r="E35" s="7" t="s">
        <v>50</v>
      </c>
      <c r="F35" s="25">
        <f t="shared" si="2"/>
        <v>0</v>
      </c>
      <c r="G35" s="8"/>
      <c r="H35" s="8"/>
      <c r="I35" s="8"/>
      <c r="J35" s="8"/>
      <c r="K35" s="7" t="s">
        <v>47</v>
      </c>
      <c r="L35" s="24"/>
    </row>
    <row r="36" spans="2:12" x14ac:dyDescent="0.3">
      <c r="B36" s="23" t="s">
        <v>94</v>
      </c>
      <c r="C36" s="24" t="s">
        <v>95</v>
      </c>
      <c r="D36" s="7">
        <v>2</v>
      </c>
      <c r="E36" s="7" t="s">
        <v>50</v>
      </c>
      <c r="F36" s="25">
        <f t="shared" si="2"/>
        <v>0</v>
      </c>
      <c r="G36" s="8"/>
      <c r="H36" s="8"/>
      <c r="I36" s="8"/>
      <c r="J36" s="8"/>
      <c r="K36" s="7" t="s">
        <v>47</v>
      </c>
      <c r="L36" s="24"/>
    </row>
    <row r="37" spans="2:12" x14ac:dyDescent="0.3">
      <c r="B37" s="18"/>
      <c r="C37" s="19" t="s">
        <v>96</v>
      </c>
      <c r="D37" s="20">
        <f>SUMIF($E38:$E42,"&lt;&gt;N/A",$D38:$D42)</f>
        <v>5</v>
      </c>
      <c r="E37" s="18"/>
      <c r="F37" s="21">
        <f t="array" ref="F37">IFERROR(SUMPRODUCT(($E38:$E42&lt;&gt;"N/A")*$D38:$D42,IF($E38:$E42="N/A",0,$F38:$F42))/$D37,0)</f>
        <v>0.15</v>
      </c>
      <c r="G37" s="22">
        <v>46267</v>
      </c>
      <c r="H37" s="22">
        <v>46267</v>
      </c>
      <c r="I37" s="18"/>
      <c r="J37" s="18"/>
      <c r="K37" s="1"/>
      <c r="L37" s="18"/>
    </row>
    <row r="38" spans="2:12" x14ac:dyDescent="0.3">
      <c r="B38" s="23" t="s">
        <v>97</v>
      </c>
      <c r="C38" s="24" t="s">
        <v>98</v>
      </c>
      <c r="D38" s="7">
        <v>1.5</v>
      </c>
      <c r="E38" s="7" t="s">
        <v>72</v>
      </c>
      <c r="F38" s="25">
        <f>IF($E38="N/A","",VLOOKUP($E38,AvanceTbl,2,FALSE()))</f>
        <v>0.5</v>
      </c>
      <c r="G38" s="8"/>
      <c r="H38" s="8"/>
      <c r="I38" s="8"/>
      <c r="J38" s="8"/>
      <c r="K38" s="7" t="s">
        <v>47</v>
      </c>
      <c r="L38" s="24"/>
    </row>
    <row r="39" spans="2:12" x14ac:dyDescent="0.3">
      <c r="B39" s="23" t="s">
        <v>99</v>
      </c>
      <c r="C39" s="24" t="s">
        <v>100</v>
      </c>
      <c r="D39" s="7">
        <v>1.5</v>
      </c>
      <c r="E39" s="7" t="s">
        <v>50</v>
      </c>
      <c r="F39" s="25">
        <f>IF($E39="N/A","",VLOOKUP($E39,AvanceTbl,2,FALSE()))</f>
        <v>0</v>
      </c>
      <c r="G39" s="8"/>
      <c r="H39" s="8"/>
      <c r="I39" s="8"/>
      <c r="J39" s="8"/>
      <c r="K39" s="7" t="s">
        <v>47</v>
      </c>
      <c r="L39" s="24"/>
    </row>
    <row r="40" spans="2:12" x14ac:dyDescent="0.3">
      <c r="B40" s="23" t="s">
        <v>101</v>
      </c>
      <c r="C40" s="24" t="s">
        <v>102</v>
      </c>
      <c r="D40" s="7">
        <v>0.5</v>
      </c>
      <c r="E40" s="7" t="s">
        <v>50</v>
      </c>
      <c r="F40" s="25">
        <f>IF($E40="N/A","",VLOOKUP($E40,AvanceTbl,2,FALSE()))</f>
        <v>0</v>
      </c>
      <c r="G40" s="8"/>
      <c r="H40" s="8"/>
      <c r="I40" s="8"/>
      <c r="J40" s="8"/>
      <c r="K40" s="7" t="s">
        <v>47</v>
      </c>
      <c r="L40" s="24"/>
    </row>
    <row r="41" spans="2:12" x14ac:dyDescent="0.3">
      <c r="B41" s="23" t="s">
        <v>103</v>
      </c>
      <c r="C41" s="24" t="s">
        <v>104</v>
      </c>
      <c r="D41" s="7">
        <v>0.5</v>
      </c>
      <c r="E41" s="7" t="s">
        <v>50</v>
      </c>
      <c r="F41" s="25">
        <f>IF($E41="N/A","",VLOOKUP($E41,AvanceTbl,2,FALSE()))</f>
        <v>0</v>
      </c>
      <c r="G41" s="8"/>
      <c r="H41" s="8"/>
      <c r="I41" s="8"/>
      <c r="J41" s="8"/>
      <c r="K41" s="7" t="s">
        <v>47</v>
      </c>
      <c r="L41" s="24"/>
    </row>
    <row r="42" spans="2:12" x14ac:dyDescent="0.3">
      <c r="B42" s="23" t="s">
        <v>105</v>
      </c>
      <c r="C42" s="24" t="s">
        <v>106</v>
      </c>
      <c r="D42" s="7">
        <v>1</v>
      </c>
      <c r="E42" s="7" t="s">
        <v>50</v>
      </c>
      <c r="F42" s="25">
        <f>IF($E42="N/A","",VLOOKUP($E42,AvanceTbl,2,FALSE()))</f>
        <v>0</v>
      </c>
      <c r="G42" s="8"/>
      <c r="H42" s="8"/>
      <c r="I42" s="8"/>
      <c r="J42" s="8"/>
      <c r="K42" s="7" t="s">
        <v>44</v>
      </c>
      <c r="L42" s="24"/>
    </row>
    <row r="43" spans="2:12" x14ac:dyDescent="0.3">
      <c r="B43" s="18"/>
      <c r="C43" s="19" t="s">
        <v>107</v>
      </c>
      <c r="D43" s="20">
        <f>SUMIF($E44:$E46,"&lt;&gt;N/A",$D44:$D46)</f>
        <v>10</v>
      </c>
      <c r="E43" s="18"/>
      <c r="F43" s="21">
        <f t="array" ref="F43">IFERROR(SUMPRODUCT(($E44:$E46&lt;&gt;"N/A")*$D44:$D46,IF($E44:$E46="N/A",0,$F44:$F46))/$D43,0)</f>
        <v>0</v>
      </c>
      <c r="G43" s="22">
        <v>46267</v>
      </c>
      <c r="H43" s="22">
        <v>46267</v>
      </c>
      <c r="I43" s="18"/>
      <c r="J43" s="18"/>
      <c r="K43" s="1"/>
      <c r="L43" s="18"/>
    </row>
    <row r="44" spans="2:12" x14ac:dyDescent="0.3">
      <c r="B44" s="23" t="s">
        <v>108</v>
      </c>
      <c r="C44" s="24" t="s">
        <v>109</v>
      </c>
      <c r="D44" s="7">
        <v>5</v>
      </c>
      <c r="E44" s="7" t="s">
        <v>50</v>
      </c>
      <c r="F44" s="25">
        <f>IF($E44="N/A","",VLOOKUP($E44,AvanceTbl,2,FALSE()))</f>
        <v>0</v>
      </c>
      <c r="G44" s="8"/>
      <c r="H44" s="8"/>
      <c r="I44" s="8"/>
      <c r="J44" s="8"/>
      <c r="K44" s="7" t="s">
        <v>47</v>
      </c>
      <c r="L44" s="24"/>
    </row>
    <row r="45" spans="2:12" x14ac:dyDescent="0.3">
      <c r="B45" s="23" t="s">
        <v>110</v>
      </c>
      <c r="C45" s="24" t="s">
        <v>111</v>
      </c>
      <c r="D45" s="7">
        <v>3</v>
      </c>
      <c r="E45" s="7" t="s">
        <v>50</v>
      </c>
      <c r="F45" s="25">
        <f>IF($E45="N/A","",VLOOKUP($E45,AvanceTbl,2,FALSE()))</f>
        <v>0</v>
      </c>
      <c r="G45" s="8"/>
      <c r="H45" s="8"/>
      <c r="I45" s="8"/>
      <c r="J45" s="8"/>
      <c r="K45" s="7" t="s">
        <v>44</v>
      </c>
      <c r="L45" s="24"/>
    </row>
    <row r="46" spans="2:12" x14ac:dyDescent="0.3">
      <c r="B46" s="23" t="s">
        <v>112</v>
      </c>
      <c r="C46" s="24" t="s">
        <v>113</v>
      </c>
      <c r="D46" s="7">
        <v>2</v>
      </c>
      <c r="E46" s="7" t="s">
        <v>50</v>
      </c>
      <c r="F46" s="25">
        <f>IF($E46="N/A","",VLOOKUP($E46,AvanceTbl,2,FALSE()))</f>
        <v>0</v>
      </c>
      <c r="G46" s="8"/>
      <c r="H46" s="8"/>
      <c r="I46" s="8"/>
      <c r="J46" s="8"/>
      <c r="K46" s="7" t="s">
        <v>44</v>
      </c>
      <c r="L46" s="24"/>
    </row>
    <row r="47" spans="2:12" x14ac:dyDescent="0.3">
      <c r="B47" s="18"/>
      <c r="C47" s="19" t="s">
        <v>114</v>
      </c>
      <c r="D47" s="20">
        <f>SUMIF($E48:$E51,"&lt;&gt;N/A",$D48:$D51)</f>
        <v>5</v>
      </c>
      <c r="E47" s="18"/>
      <c r="F47" s="21">
        <f t="array" ref="F47">IFERROR(SUMPRODUCT(($E48:$E51&lt;&gt;"N/A")*$D48:$D51,IF($E48:$E51="N/A",0,$F48:$F51))/$D47,0)</f>
        <v>0</v>
      </c>
      <c r="G47" s="22">
        <v>46270</v>
      </c>
      <c r="H47" s="22">
        <v>46271</v>
      </c>
      <c r="I47" s="18"/>
      <c r="J47" s="18"/>
      <c r="K47" s="1"/>
      <c r="L47" s="18"/>
    </row>
    <row r="48" spans="2:12" x14ac:dyDescent="0.3">
      <c r="B48" s="23" t="s">
        <v>115</v>
      </c>
      <c r="C48" s="24" t="s">
        <v>116</v>
      </c>
      <c r="D48" s="7">
        <v>1.5</v>
      </c>
      <c r="E48" s="7" t="s">
        <v>50</v>
      </c>
      <c r="F48" s="25">
        <f>IF($E48="N/A","",VLOOKUP($E48,AvanceTbl,2,FALSE()))</f>
        <v>0</v>
      </c>
      <c r="G48" s="8"/>
      <c r="H48" s="8"/>
      <c r="I48" s="8"/>
      <c r="J48" s="8"/>
      <c r="K48" s="7" t="s">
        <v>47</v>
      </c>
      <c r="L48" s="24"/>
    </row>
    <row r="49" spans="2:12" x14ac:dyDescent="0.3">
      <c r="B49" s="23" t="s">
        <v>117</v>
      </c>
      <c r="C49" s="24" t="s">
        <v>118</v>
      </c>
      <c r="D49" s="7">
        <v>1</v>
      </c>
      <c r="E49" s="7" t="s">
        <v>50</v>
      </c>
      <c r="F49" s="25">
        <f>IF($E49="N/A","",VLOOKUP($E49,AvanceTbl,2,FALSE()))</f>
        <v>0</v>
      </c>
      <c r="G49" s="8"/>
      <c r="H49" s="8"/>
      <c r="I49" s="8"/>
      <c r="J49" s="8"/>
      <c r="K49" s="7" t="s">
        <v>47</v>
      </c>
      <c r="L49" s="24"/>
    </row>
    <row r="50" spans="2:12" x14ac:dyDescent="0.3">
      <c r="B50" s="23" t="s">
        <v>119</v>
      </c>
      <c r="C50" s="24" t="s">
        <v>120</v>
      </c>
      <c r="D50" s="7">
        <v>1.5</v>
      </c>
      <c r="E50" s="7" t="s">
        <v>50</v>
      </c>
      <c r="F50" s="25">
        <f>IF($E50="N/A","",VLOOKUP($E50,AvanceTbl,2,FALSE()))</f>
        <v>0</v>
      </c>
      <c r="G50" s="8"/>
      <c r="H50" s="8"/>
      <c r="I50" s="8"/>
      <c r="J50" s="8"/>
      <c r="K50" s="7" t="s">
        <v>47</v>
      </c>
      <c r="L50" s="24"/>
    </row>
    <row r="51" spans="2:12" x14ac:dyDescent="0.3">
      <c r="B51" s="23" t="s">
        <v>121</v>
      </c>
      <c r="C51" s="24" t="s">
        <v>122</v>
      </c>
      <c r="D51" s="7">
        <v>1</v>
      </c>
      <c r="E51" s="7" t="s">
        <v>50</v>
      </c>
      <c r="F51" s="25">
        <f>IF($E51="N/A","",VLOOKUP($E51,AvanceTbl,2,FALSE()))</f>
        <v>0</v>
      </c>
      <c r="G51" s="8"/>
      <c r="H51" s="8"/>
      <c r="I51" s="8"/>
      <c r="J51" s="8"/>
      <c r="K51" s="7" t="s">
        <v>44</v>
      </c>
      <c r="L51" s="24"/>
    </row>
    <row r="52" spans="2:12" x14ac:dyDescent="0.3">
      <c r="B52" s="18"/>
      <c r="C52" s="19" t="s">
        <v>123</v>
      </c>
      <c r="D52" s="20">
        <f>SUMIF($E53:$E56,"&lt;&gt;N/A",$D53:$D56)</f>
        <v>7</v>
      </c>
      <c r="E52" s="18"/>
      <c r="F52" s="21">
        <f t="array" ref="F52">IFERROR(SUMPRODUCT(($E53:$E56&lt;&gt;"N/A")*$D53:$D56,IF($E53:$E56="N/A",0,$F53:$F56))/$D52,0)</f>
        <v>0</v>
      </c>
      <c r="G52" s="22">
        <v>46271</v>
      </c>
      <c r="H52" s="22">
        <v>46271</v>
      </c>
      <c r="I52" s="18"/>
      <c r="J52" s="18"/>
      <c r="K52" s="1"/>
      <c r="L52" s="18"/>
    </row>
    <row r="53" spans="2:12" x14ac:dyDescent="0.3">
      <c r="B53" s="23" t="s">
        <v>124</v>
      </c>
      <c r="C53" s="24" t="s">
        <v>125</v>
      </c>
      <c r="D53" s="7">
        <v>2</v>
      </c>
      <c r="E53" s="7" t="s">
        <v>50</v>
      </c>
      <c r="F53" s="25">
        <f>IF($E53="N/A","",VLOOKUP($E53,AvanceTbl,2,FALSE()))</f>
        <v>0</v>
      </c>
      <c r="G53" s="8"/>
      <c r="H53" s="8"/>
      <c r="I53" s="8"/>
      <c r="J53" s="8"/>
      <c r="K53" s="7" t="s">
        <v>44</v>
      </c>
      <c r="L53" s="24"/>
    </row>
    <row r="54" spans="2:12" x14ac:dyDescent="0.3">
      <c r="B54" s="23" t="s">
        <v>126</v>
      </c>
      <c r="C54" s="24" t="s">
        <v>127</v>
      </c>
      <c r="D54" s="7">
        <v>2</v>
      </c>
      <c r="E54" s="7" t="s">
        <v>50</v>
      </c>
      <c r="F54" s="25">
        <f>IF($E54="N/A","",VLOOKUP($E54,AvanceTbl,2,FALSE()))</f>
        <v>0</v>
      </c>
      <c r="G54" s="8"/>
      <c r="H54" s="8"/>
      <c r="I54" s="8"/>
      <c r="J54" s="8"/>
      <c r="K54" s="7" t="s">
        <v>44</v>
      </c>
      <c r="L54" s="24"/>
    </row>
    <row r="55" spans="2:12" x14ac:dyDescent="0.3">
      <c r="B55" s="23" t="s">
        <v>128</v>
      </c>
      <c r="C55" s="24" t="s">
        <v>129</v>
      </c>
      <c r="D55" s="7">
        <v>2</v>
      </c>
      <c r="E55" s="7" t="s">
        <v>50</v>
      </c>
      <c r="F55" s="25">
        <f>IF($E55="N/A","",VLOOKUP($E55,AvanceTbl,2,FALSE()))</f>
        <v>0</v>
      </c>
      <c r="G55" s="8"/>
      <c r="H55" s="8"/>
      <c r="I55" s="8"/>
      <c r="J55" s="8"/>
      <c r="K55" s="7" t="s">
        <v>44</v>
      </c>
      <c r="L55" s="24"/>
    </row>
    <row r="56" spans="2:12" x14ac:dyDescent="0.3">
      <c r="B56" s="23" t="s">
        <v>130</v>
      </c>
      <c r="C56" s="24" t="s">
        <v>131</v>
      </c>
      <c r="D56" s="7">
        <v>1</v>
      </c>
      <c r="E56" s="7" t="s">
        <v>50</v>
      </c>
      <c r="F56" s="25">
        <f>IF($E56="N/A","",VLOOKUP($E56,AvanceTbl,2,FALSE()))</f>
        <v>0</v>
      </c>
      <c r="G56" s="8"/>
      <c r="H56" s="8"/>
      <c r="I56" s="8"/>
      <c r="J56" s="8"/>
      <c r="K56" s="7" t="s">
        <v>132</v>
      </c>
      <c r="L56" s="24"/>
    </row>
  </sheetData>
  <mergeCells count="8">
    <mergeCell ref="B7:F7"/>
    <mergeCell ref="G7:L7"/>
    <mergeCell ref="B2:L2"/>
    <mergeCell ref="G4:H4"/>
    <mergeCell ref="J4:L4"/>
    <mergeCell ref="C5:E5"/>
    <mergeCell ref="G5:H5"/>
    <mergeCell ref="J5:L5"/>
  </mergeCells>
  <conditionalFormatting sqref="E10:E56">
    <cfRule type="cellIs" dxfId="63" priority="2" operator="equal">
      <formula>"Completado"</formula>
    </cfRule>
    <cfRule type="cellIs" dxfId="62" priority="3" operator="equal">
      <formula>"En proceso"</formula>
    </cfRule>
    <cfRule type="cellIs" dxfId="61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{F0A97940-0022-4966-BBC5-34B42C372AE6}</x14:id>
        </ext>
      </extLst>
    </cfRule>
  </conditionalFormatting>
  <conditionalFormatting sqref="G11:G15">
    <cfRule type="expression" dxfId="60" priority="6">
      <formula>AND($G11&lt;&gt;"",$G11&lt;TODAY(),$E11&lt;&gt;"Completado",$E11&lt;&gt;"N/A")</formula>
    </cfRule>
  </conditionalFormatting>
  <conditionalFormatting sqref="G17:G22">
    <cfRule type="expression" dxfId="59" priority="7">
      <formula>AND($G17&lt;&gt;"",$G17&lt;TODAY(),$E17&lt;&gt;"Completado",$E17&lt;&gt;"N/A")</formula>
    </cfRule>
  </conditionalFormatting>
  <conditionalFormatting sqref="G24:G29">
    <cfRule type="expression" dxfId="58" priority="8">
      <formula>AND($G24&lt;&gt;"",$G24&lt;TODAY(),$E24&lt;&gt;"Completado",$E24&lt;&gt;"N/A")</formula>
    </cfRule>
  </conditionalFormatting>
  <conditionalFormatting sqref="G31:G36">
    <cfRule type="expression" dxfId="57" priority="9">
      <formula>AND($G31&lt;&gt;"",$G31&lt;TODAY(),$E31&lt;&gt;"Completado",$E31&lt;&gt;"N/A")</formula>
    </cfRule>
  </conditionalFormatting>
  <conditionalFormatting sqref="G38:G42">
    <cfRule type="expression" dxfId="56" priority="10">
      <formula>AND($G38&lt;&gt;"",$G38&lt;TODAY(),$E38&lt;&gt;"Completado",$E38&lt;&gt;"N/A")</formula>
    </cfRule>
  </conditionalFormatting>
  <conditionalFormatting sqref="G44:G46">
    <cfRule type="expression" dxfId="55" priority="11">
      <formula>AND($G44&lt;&gt;"",$G44&lt;TODAY(),$E44&lt;&gt;"Completado",$E44&lt;&gt;"N/A")</formula>
    </cfRule>
  </conditionalFormatting>
  <conditionalFormatting sqref="G48:G51">
    <cfRule type="expression" dxfId="54" priority="12">
      <formula>AND($G48&lt;&gt;"",$G48&lt;TODAY(),$E48&lt;&gt;"Completado",$E48&lt;&gt;"N/A")</formula>
    </cfRule>
  </conditionalFormatting>
  <conditionalFormatting sqref="G53:G56">
    <cfRule type="expression" dxfId="53" priority="13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200-000000000000}">
      <formula1>EstadoList</formula1>
      <formula2>0</formula2>
    </dataValidation>
  </dataValidations>
  <pageMargins left="0.25" right="0.25" top="0.75" bottom="0.75" header="0.511811023622047" footer="0.511811023622047"/>
  <pageSetup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A97940-0022-4966-BBC5-34B42C372AE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496"/>
    <pageSetUpPr fitToPage="1"/>
  </sheetPr>
  <dimension ref="B2:L56"/>
  <sheetViews>
    <sheetView showGridLines="0" zoomScaleNormal="100" workbookViewId="0">
      <selection activeCell="C5" sqref="C5:E5"/>
    </sheetView>
  </sheetViews>
  <sheetFormatPr baseColWidth="10" defaultColWidth="8.6640625" defaultRowHeight="14.4" x14ac:dyDescent="0.3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25" customHeight="1" x14ac:dyDescent="0.3">
      <c r="B2" s="42" t="s">
        <v>136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12" x14ac:dyDescent="0.3">
      <c r="B4" s="17" t="s">
        <v>22</v>
      </c>
      <c r="C4" s="43" t="s">
        <v>183</v>
      </c>
      <c r="D4" s="43"/>
      <c r="E4" s="43"/>
      <c r="F4" s="17" t="s">
        <v>23</v>
      </c>
      <c r="G4" s="43" t="s">
        <v>12</v>
      </c>
      <c r="H4" s="43"/>
      <c r="I4" s="17" t="s">
        <v>24</v>
      </c>
      <c r="J4" s="43"/>
      <c r="K4" s="43"/>
      <c r="L4" s="43"/>
    </row>
    <row r="5" spans="2:12" x14ac:dyDescent="0.3">
      <c r="B5" s="17" t="s">
        <v>25</v>
      </c>
      <c r="C5" s="43" t="s">
        <v>47</v>
      </c>
      <c r="D5" s="43"/>
      <c r="E5" s="43"/>
      <c r="F5" s="17" t="s">
        <v>26</v>
      </c>
      <c r="G5" s="43"/>
      <c r="H5" s="43"/>
      <c r="I5" s="17" t="s">
        <v>28</v>
      </c>
      <c r="J5" s="45">
        <v>46234</v>
      </c>
      <c r="K5" s="45"/>
      <c r="L5" s="45"/>
    </row>
    <row r="7" spans="2:12" ht="21" customHeight="1" x14ac:dyDescent="0.3">
      <c r="B7" s="40" t="s">
        <v>29</v>
      </c>
      <c r="C7" s="40"/>
      <c r="D7" s="40"/>
      <c r="E7" s="40"/>
      <c r="F7" s="40"/>
      <c r="G7" s="41">
        <f>IFERROR(($D10*$F10+$D16*$F16+$D23*$F23+$D30*$F30+$D37*$F37+$D43*$F43+$D47*$F47+$D52*$F52)/($D10+$D16+$D23+$D30+$D37+$D43+$D47+$D52),0)</f>
        <v>0.5178571428571429</v>
      </c>
      <c r="H7" s="41"/>
      <c r="I7" s="41"/>
      <c r="J7" s="41"/>
      <c r="K7" s="41"/>
      <c r="L7" s="41"/>
    </row>
    <row r="9" spans="2:12" x14ac:dyDescent="0.3"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5</v>
      </c>
      <c r="H9" s="4" t="s">
        <v>35</v>
      </c>
      <c r="I9" s="4" t="s">
        <v>36</v>
      </c>
      <c r="J9" s="4" t="s">
        <v>37</v>
      </c>
      <c r="K9" s="4" t="s">
        <v>38</v>
      </c>
      <c r="L9" s="4" t="s">
        <v>39</v>
      </c>
    </row>
    <row r="10" spans="2:12" x14ac:dyDescent="0.3">
      <c r="B10" s="18"/>
      <c r="C10" s="19" t="s">
        <v>40</v>
      </c>
      <c r="D10" s="20">
        <f>SUMIF($E11:$E15,"&lt;&gt;N/A",$D11:$D15)</f>
        <v>15</v>
      </c>
      <c r="E10" s="18"/>
      <c r="F10" s="21">
        <f t="array" ref="F10">IFERROR(SUMPRODUCT(($E11:$E15&lt;&gt;"N/A")*$D11:$D15,IF($E11:$E15="N/A",0,$F11:$F15))/$D10,0)</f>
        <v>0.71666666666666667</v>
      </c>
      <c r="G10" s="22">
        <v>46237</v>
      </c>
      <c r="H10" s="22">
        <v>46240</v>
      </c>
      <c r="I10" s="50">
        <v>46203</v>
      </c>
      <c r="J10" s="50">
        <v>46211</v>
      </c>
      <c r="K10" s="18"/>
      <c r="L10" s="18"/>
    </row>
    <row r="11" spans="2:12" ht="26.25" customHeight="1" x14ac:dyDescent="0.3">
      <c r="B11" s="23" t="s">
        <v>41</v>
      </c>
      <c r="C11" s="24" t="s">
        <v>42</v>
      </c>
      <c r="D11" s="7">
        <v>1.5</v>
      </c>
      <c r="E11" s="7" t="s">
        <v>43</v>
      </c>
      <c r="F11" s="25">
        <f>IF($E11="N/A","",VLOOKUP($E11,AvanceTbl,2,FALSE()))</f>
        <v>1</v>
      </c>
      <c r="G11" s="8"/>
      <c r="H11" s="8"/>
      <c r="I11" s="8"/>
      <c r="J11" s="8"/>
      <c r="K11" s="7" t="s">
        <v>44</v>
      </c>
      <c r="L11" s="24"/>
    </row>
    <row r="12" spans="2:12" x14ac:dyDescent="0.3">
      <c r="B12" s="23" t="s">
        <v>45</v>
      </c>
      <c r="C12" s="24" t="s">
        <v>46</v>
      </c>
      <c r="D12" s="7">
        <v>5</v>
      </c>
      <c r="E12" s="7" t="s">
        <v>43</v>
      </c>
      <c r="F12" s="25">
        <f>IF($E12="N/A","",VLOOKUP($E12,AvanceTbl,2,FALSE()))</f>
        <v>1</v>
      </c>
      <c r="G12" s="8"/>
      <c r="H12" s="8"/>
      <c r="I12" s="8"/>
      <c r="J12" s="8"/>
      <c r="K12" s="7" t="s">
        <v>47</v>
      </c>
      <c r="L12" s="24"/>
    </row>
    <row r="13" spans="2:12" x14ac:dyDescent="0.3">
      <c r="B13" s="23" t="s">
        <v>48</v>
      </c>
      <c r="C13" s="24" t="s">
        <v>49</v>
      </c>
      <c r="D13" s="7">
        <v>4</v>
      </c>
      <c r="E13" s="7" t="s">
        <v>72</v>
      </c>
      <c r="F13" s="25">
        <f>IF($E13="N/A","",VLOOKUP($E13,AvanceTbl,2,FALSE()))</f>
        <v>0.5</v>
      </c>
      <c r="G13" s="8"/>
      <c r="H13" s="8"/>
      <c r="I13" s="8"/>
      <c r="J13" s="8"/>
      <c r="K13" s="7" t="s">
        <v>47</v>
      </c>
      <c r="L13" s="24"/>
    </row>
    <row r="14" spans="2:12" x14ac:dyDescent="0.3">
      <c r="B14" s="23" t="s">
        <v>51</v>
      </c>
      <c r="C14" s="24" t="s">
        <v>52</v>
      </c>
      <c r="D14" s="7">
        <v>2</v>
      </c>
      <c r="E14" s="7" t="s">
        <v>72</v>
      </c>
      <c r="F14" s="25">
        <f>IF($E14="N/A","",VLOOKUP($E14,AvanceTbl,2,FALSE()))</f>
        <v>0.5</v>
      </c>
      <c r="G14" s="8"/>
      <c r="H14" s="8"/>
      <c r="I14" s="8"/>
      <c r="J14" s="8"/>
      <c r="K14" s="7" t="s">
        <v>47</v>
      </c>
      <c r="L14" s="24"/>
    </row>
    <row r="15" spans="2:12" x14ac:dyDescent="0.3">
      <c r="B15" s="23" t="s">
        <v>53</v>
      </c>
      <c r="C15" s="24" t="s">
        <v>54</v>
      </c>
      <c r="D15" s="7">
        <v>2.5</v>
      </c>
      <c r="E15" s="7" t="s">
        <v>72</v>
      </c>
      <c r="F15" s="25">
        <f>IF($E15="N/A","",VLOOKUP($E15,AvanceTbl,2,FALSE()))</f>
        <v>0.5</v>
      </c>
      <c r="G15" s="8"/>
      <c r="H15" s="8"/>
      <c r="I15" s="8"/>
      <c r="J15" s="8"/>
      <c r="K15" s="7" t="s">
        <v>44</v>
      </c>
      <c r="L15" s="24"/>
    </row>
    <row r="16" spans="2:12" x14ac:dyDescent="0.3">
      <c r="B16" s="18"/>
      <c r="C16" s="19" t="s">
        <v>55</v>
      </c>
      <c r="D16" s="20">
        <f>SUMIF($E17:$E22,"&lt;&gt;N/A",$D17:$D22)</f>
        <v>10</v>
      </c>
      <c r="E16" s="18"/>
      <c r="F16" s="21">
        <f t="array" ref="F16">IFERROR(SUMPRODUCT(($E17:$E22&lt;&gt;"N/A")*$D17:$D22,IF($E17:$E22="N/A",0,$F17:$F22))/$D16,0)</f>
        <v>0.82499999999999996</v>
      </c>
      <c r="G16" s="22">
        <v>46274</v>
      </c>
      <c r="H16" s="22">
        <v>46275</v>
      </c>
      <c r="I16" s="50">
        <v>46206</v>
      </c>
      <c r="J16" s="18"/>
      <c r="K16" s="1"/>
      <c r="L16" s="18"/>
    </row>
    <row r="17" spans="2:12" ht="26.25" customHeight="1" x14ac:dyDescent="0.3">
      <c r="B17" s="23" t="s">
        <v>56</v>
      </c>
      <c r="C17" s="24" t="s">
        <v>57</v>
      </c>
      <c r="D17" s="7">
        <v>1.5</v>
      </c>
      <c r="E17" s="7" t="s">
        <v>43</v>
      </c>
      <c r="F17" s="25">
        <f t="shared" ref="F17:F22" si="0">IF($E17="N/A","",VLOOKUP($E17,AvanceTbl,2,FALSE()))</f>
        <v>1</v>
      </c>
      <c r="G17" s="8"/>
      <c r="H17" s="8"/>
      <c r="I17" s="8"/>
      <c r="J17" s="8"/>
      <c r="K17" s="7" t="s">
        <v>44</v>
      </c>
      <c r="L17" s="24"/>
    </row>
    <row r="18" spans="2:12" x14ac:dyDescent="0.3">
      <c r="B18" s="23" t="s">
        <v>58</v>
      </c>
      <c r="C18" s="24" t="s">
        <v>59</v>
      </c>
      <c r="D18" s="7">
        <v>3</v>
      </c>
      <c r="E18" s="7" t="s">
        <v>43</v>
      </c>
      <c r="F18" s="25">
        <f t="shared" si="0"/>
        <v>1</v>
      </c>
      <c r="G18" s="8"/>
      <c r="H18" s="8"/>
      <c r="I18" s="8"/>
      <c r="J18" s="8"/>
      <c r="K18" s="7" t="s">
        <v>47</v>
      </c>
      <c r="L18" s="24"/>
    </row>
    <row r="19" spans="2:12" x14ac:dyDescent="0.3">
      <c r="B19" s="23" t="s">
        <v>60</v>
      </c>
      <c r="C19" s="24" t="s">
        <v>61</v>
      </c>
      <c r="D19" s="7">
        <v>3</v>
      </c>
      <c r="E19" s="7" t="s">
        <v>43</v>
      </c>
      <c r="F19" s="25">
        <f t="shared" si="0"/>
        <v>1</v>
      </c>
      <c r="G19" s="8"/>
      <c r="H19" s="8"/>
      <c r="I19" s="8"/>
      <c r="J19" s="8"/>
      <c r="K19" s="7" t="s">
        <v>47</v>
      </c>
      <c r="L19" s="24"/>
    </row>
    <row r="20" spans="2:12" x14ac:dyDescent="0.3">
      <c r="B20" s="23" t="s">
        <v>62</v>
      </c>
      <c r="C20" s="24" t="s">
        <v>63</v>
      </c>
      <c r="D20" s="7">
        <v>2</v>
      </c>
      <c r="E20" s="7" t="s">
        <v>64</v>
      </c>
      <c r="F20" s="25" t="str">
        <f t="shared" si="0"/>
        <v/>
      </c>
      <c r="G20" s="8"/>
      <c r="H20" s="8"/>
      <c r="I20" s="8"/>
      <c r="J20" s="8"/>
      <c r="K20" s="7" t="s">
        <v>47</v>
      </c>
      <c r="L20" s="24"/>
    </row>
    <row r="21" spans="2:12" x14ac:dyDescent="0.3">
      <c r="B21" s="23" t="s">
        <v>65</v>
      </c>
      <c r="C21" s="24" t="s">
        <v>66</v>
      </c>
      <c r="D21" s="7">
        <v>1.5</v>
      </c>
      <c r="E21" s="7" t="s">
        <v>72</v>
      </c>
      <c r="F21" s="25">
        <f t="shared" si="0"/>
        <v>0.5</v>
      </c>
      <c r="G21" s="8"/>
      <c r="H21" s="8"/>
      <c r="I21" s="8"/>
      <c r="J21" s="8"/>
      <c r="K21" s="7" t="s">
        <v>47</v>
      </c>
      <c r="L21" s="24"/>
    </row>
    <row r="22" spans="2:12" x14ac:dyDescent="0.3">
      <c r="B22" s="23" t="s">
        <v>67</v>
      </c>
      <c r="C22" s="24" t="s">
        <v>68</v>
      </c>
      <c r="D22" s="7">
        <v>1</v>
      </c>
      <c r="E22" s="7" t="s">
        <v>50</v>
      </c>
      <c r="F22" s="25">
        <f t="shared" si="0"/>
        <v>0</v>
      </c>
      <c r="G22" s="8"/>
      <c r="H22" s="8"/>
      <c r="I22" s="8"/>
      <c r="J22" s="8"/>
      <c r="K22" s="7" t="s">
        <v>47</v>
      </c>
      <c r="L22" s="24"/>
    </row>
    <row r="23" spans="2:12" x14ac:dyDescent="0.3">
      <c r="B23" s="18"/>
      <c r="C23" s="19" t="s">
        <v>69</v>
      </c>
      <c r="D23" s="20">
        <f>SUMIF($E24:$E29,"&lt;&gt;N/A",$D24:$D29)</f>
        <v>28</v>
      </c>
      <c r="E23" s="18"/>
      <c r="F23" s="21">
        <f t="array" ref="F23">IFERROR(SUMPRODUCT(($E24:$E29&lt;&gt;"N/A")*$D24:$D29,IF($E24:$E29="N/A",0,$F24:$F29))/$D23,0)</f>
        <v>0.8571428571428571</v>
      </c>
      <c r="G23" s="22">
        <v>46274</v>
      </c>
      <c r="H23" s="22">
        <v>46275</v>
      </c>
      <c r="I23" s="18"/>
      <c r="J23" s="18"/>
      <c r="K23" s="1"/>
      <c r="L23" s="18"/>
    </row>
    <row r="24" spans="2:12" x14ac:dyDescent="0.3">
      <c r="B24" s="23" t="s">
        <v>70</v>
      </c>
      <c r="C24" s="24" t="s">
        <v>71</v>
      </c>
      <c r="D24" s="7">
        <v>8</v>
      </c>
      <c r="E24" s="7" t="s">
        <v>43</v>
      </c>
      <c r="F24" s="25">
        <f t="shared" ref="F24:F29" si="1">IF($E24="N/A","",VLOOKUP($E24,AvanceTbl,2,FALSE()))</f>
        <v>1</v>
      </c>
      <c r="G24" s="8"/>
      <c r="H24" s="8"/>
      <c r="I24" s="8"/>
      <c r="J24" s="8"/>
      <c r="K24" s="7" t="s">
        <v>47</v>
      </c>
      <c r="L24" s="24"/>
    </row>
    <row r="25" spans="2:12" x14ac:dyDescent="0.3">
      <c r="B25" s="23" t="s">
        <v>73</v>
      </c>
      <c r="C25" s="24" t="s">
        <v>74</v>
      </c>
      <c r="D25" s="7">
        <v>8</v>
      </c>
      <c r="E25" s="7" t="s">
        <v>43</v>
      </c>
      <c r="F25" s="25">
        <f t="shared" si="1"/>
        <v>1</v>
      </c>
      <c r="G25" s="8"/>
      <c r="H25" s="8"/>
      <c r="I25" s="8"/>
      <c r="J25" s="8"/>
      <c r="K25" s="7" t="s">
        <v>47</v>
      </c>
      <c r="L25" s="24"/>
    </row>
    <row r="26" spans="2:12" x14ac:dyDescent="0.3">
      <c r="B26" s="23" t="s">
        <v>75</v>
      </c>
      <c r="C26" s="24" t="s">
        <v>76</v>
      </c>
      <c r="D26" s="7">
        <v>4</v>
      </c>
      <c r="E26" s="7" t="s">
        <v>43</v>
      </c>
      <c r="F26" s="25">
        <f t="shared" si="1"/>
        <v>1</v>
      </c>
      <c r="G26" s="8"/>
      <c r="H26" s="8"/>
      <c r="I26" s="8"/>
      <c r="J26" s="8"/>
      <c r="K26" s="7" t="s">
        <v>47</v>
      </c>
      <c r="L26" s="24"/>
    </row>
    <row r="27" spans="2:12" x14ac:dyDescent="0.3">
      <c r="B27" s="23" t="s">
        <v>77</v>
      </c>
      <c r="C27" s="24" t="s">
        <v>78</v>
      </c>
      <c r="D27" s="7">
        <v>4</v>
      </c>
      <c r="E27" s="7" t="s">
        <v>43</v>
      </c>
      <c r="F27" s="25">
        <f t="shared" si="1"/>
        <v>1</v>
      </c>
      <c r="G27" s="8"/>
      <c r="H27" s="8"/>
      <c r="I27" s="8"/>
      <c r="J27" s="8"/>
      <c r="K27" s="7" t="s">
        <v>47</v>
      </c>
      <c r="L27" s="24"/>
    </row>
    <row r="28" spans="2:12" x14ac:dyDescent="0.3">
      <c r="B28" s="23" t="s">
        <v>79</v>
      </c>
      <c r="C28" s="24" t="s">
        <v>80</v>
      </c>
      <c r="D28" s="7">
        <v>2</v>
      </c>
      <c r="E28" s="7" t="s">
        <v>50</v>
      </c>
      <c r="F28" s="25">
        <f t="shared" si="1"/>
        <v>0</v>
      </c>
      <c r="G28" s="8"/>
      <c r="H28" s="8"/>
      <c r="I28" s="8"/>
      <c r="J28" s="8"/>
      <c r="K28" s="7" t="s">
        <v>47</v>
      </c>
      <c r="L28" s="24"/>
    </row>
    <row r="29" spans="2:12" x14ac:dyDescent="0.3">
      <c r="B29" s="23" t="s">
        <v>81</v>
      </c>
      <c r="C29" s="24" t="s">
        <v>82</v>
      </c>
      <c r="D29" s="7">
        <v>2</v>
      </c>
      <c r="E29" s="7" t="s">
        <v>50</v>
      </c>
      <c r="F29" s="25">
        <f t="shared" si="1"/>
        <v>0</v>
      </c>
      <c r="G29" s="8"/>
      <c r="H29" s="8"/>
      <c r="I29" s="8"/>
      <c r="J29" s="8"/>
      <c r="K29" s="7" t="s">
        <v>47</v>
      </c>
      <c r="L29" s="24"/>
    </row>
    <row r="30" spans="2:12" x14ac:dyDescent="0.3">
      <c r="B30" s="18"/>
      <c r="C30" s="19" t="s">
        <v>83</v>
      </c>
      <c r="D30" s="20">
        <f>SUMIF($E31:$E36,"&lt;&gt;N/A",$D31:$D36)</f>
        <v>18</v>
      </c>
      <c r="E30" s="18"/>
      <c r="F30" s="21">
        <f t="array" ref="F30">IFERROR(SUMPRODUCT(($E31:$E36&lt;&gt;"N/A")*$D31:$D36,IF($E31:$E36="N/A",0,$F31:$F36))/$D30,0)</f>
        <v>0.3888888888888889</v>
      </c>
      <c r="G30" s="22">
        <v>46277</v>
      </c>
      <c r="H30" s="22">
        <v>46281</v>
      </c>
      <c r="I30" s="18"/>
      <c r="J30" s="18"/>
      <c r="K30" s="1"/>
      <c r="L30" s="18"/>
    </row>
    <row r="31" spans="2:12" x14ac:dyDescent="0.3">
      <c r="B31" s="23" t="s">
        <v>84</v>
      </c>
      <c r="C31" s="24" t="s">
        <v>85</v>
      </c>
      <c r="D31" s="7">
        <v>4</v>
      </c>
      <c r="E31" s="7" t="s">
        <v>72</v>
      </c>
      <c r="F31" s="25">
        <f t="shared" ref="F31:F36" si="2">IF($E31="N/A","",VLOOKUP($E31,AvanceTbl,2,FALSE()))</f>
        <v>0.5</v>
      </c>
      <c r="G31" s="8"/>
      <c r="H31" s="8"/>
      <c r="I31" s="8"/>
      <c r="J31" s="8"/>
      <c r="K31" s="7" t="s">
        <v>47</v>
      </c>
      <c r="L31" s="24"/>
    </row>
    <row r="32" spans="2:12" x14ac:dyDescent="0.3">
      <c r="B32" s="23" t="s">
        <v>86</v>
      </c>
      <c r="C32" s="24" t="s">
        <v>87</v>
      </c>
      <c r="D32" s="7">
        <v>3</v>
      </c>
      <c r="E32" s="7" t="s">
        <v>72</v>
      </c>
      <c r="F32" s="25">
        <f t="shared" si="2"/>
        <v>0.5</v>
      </c>
      <c r="G32" s="8"/>
      <c r="H32" s="8"/>
      <c r="I32" s="8"/>
      <c r="J32" s="8"/>
      <c r="K32" s="7" t="s">
        <v>47</v>
      </c>
      <c r="L32" s="24"/>
    </row>
    <row r="33" spans="2:12" x14ac:dyDescent="0.3">
      <c r="B33" s="23" t="s">
        <v>88</v>
      </c>
      <c r="C33" s="24" t="s">
        <v>89</v>
      </c>
      <c r="D33" s="7">
        <v>2</v>
      </c>
      <c r="E33" s="7" t="s">
        <v>72</v>
      </c>
      <c r="F33" s="25">
        <f t="shared" si="2"/>
        <v>0.5</v>
      </c>
      <c r="G33" s="8"/>
      <c r="H33" s="8"/>
      <c r="I33" s="8"/>
      <c r="J33" s="8"/>
      <c r="K33" s="7" t="s">
        <v>47</v>
      </c>
      <c r="L33" s="24"/>
    </row>
    <row r="34" spans="2:12" x14ac:dyDescent="0.3">
      <c r="B34" s="23" t="s">
        <v>90</v>
      </c>
      <c r="C34" s="24" t="s">
        <v>91</v>
      </c>
      <c r="D34" s="7">
        <v>5</v>
      </c>
      <c r="E34" s="7" t="s">
        <v>72</v>
      </c>
      <c r="F34" s="25">
        <f t="shared" si="2"/>
        <v>0.5</v>
      </c>
      <c r="G34" s="8"/>
      <c r="H34" s="8"/>
      <c r="I34" s="8"/>
      <c r="J34" s="8"/>
      <c r="K34" s="7" t="s">
        <v>47</v>
      </c>
      <c r="L34" s="24"/>
    </row>
    <row r="35" spans="2:12" x14ac:dyDescent="0.3">
      <c r="B35" s="23" t="s">
        <v>92</v>
      </c>
      <c r="C35" s="24" t="s">
        <v>93</v>
      </c>
      <c r="D35" s="7">
        <v>2</v>
      </c>
      <c r="E35" s="7" t="s">
        <v>50</v>
      </c>
      <c r="F35" s="25">
        <f t="shared" si="2"/>
        <v>0</v>
      </c>
      <c r="G35" s="8"/>
      <c r="H35" s="8"/>
      <c r="I35" s="8"/>
      <c r="J35" s="8"/>
      <c r="K35" s="7" t="s">
        <v>47</v>
      </c>
      <c r="L35" s="24"/>
    </row>
    <row r="36" spans="2:12" x14ac:dyDescent="0.3">
      <c r="B36" s="23" t="s">
        <v>94</v>
      </c>
      <c r="C36" s="24" t="s">
        <v>95</v>
      </c>
      <c r="D36" s="7">
        <v>2</v>
      </c>
      <c r="E36" s="7" t="s">
        <v>50</v>
      </c>
      <c r="F36" s="25">
        <f t="shared" si="2"/>
        <v>0</v>
      </c>
      <c r="G36" s="8"/>
      <c r="H36" s="8"/>
      <c r="I36" s="8"/>
      <c r="J36" s="8"/>
      <c r="K36" s="7" t="s">
        <v>47</v>
      </c>
      <c r="L36" s="24"/>
    </row>
    <row r="37" spans="2:12" x14ac:dyDescent="0.3">
      <c r="B37" s="18"/>
      <c r="C37" s="19" t="s">
        <v>96</v>
      </c>
      <c r="D37" s="20">
        <f>SUMIF($E38:$E42,"&lt;&gt;N/A",$D38:$D42)</f>
        <v>5</v>
      </c>
      <c r="E37" s="18"/>
      <c r="F37" s="21">
        <f t="array" ref="F37">IFERROR(SUMPRODUCT(($E38:$E42&lt;&gt;"N/A")*$D38:$D42,IF($E38:$E42="N/A",0,$F38:$F42))/$D37,0)</f>
        <v>0.15</v>
      </c>
      <c r="G37" s="22">
        <v>46282</v>
      </c>
      <c r="H37" s="22">
        <v>46282</v>
      </c>
      <c r="I37" s="18"/>
      <c r="J37" s="18"/>
      <c r="K37" s="1"/>
      <c r="L37" s="18"/>
    </row>
    <row r="38" spans="2:12" x14ac:dyDescent="0.3">
      <c r="B38" s="23" t="s">
        <v>97</v>
      </c>
      <c r="C38" s="24" t="s">
        <v>98</v>
      </c>
      <c r="D38" s="7">
        <v>1.5</v>
      </c>
      <c r="E38" s="7" t="s">
        <v>72</v>
      </c>
      <c r="F38" s="25">
        <f>IF($E38="N/A","",VLOOKUP($E38,AvanceTbl,2,FALSE()))</f>
        <v>0.5</v>
      </c>
      <c r="G38" s="8"/>
      <c r="H38" s="8"/>
      <c r="I38" s="8"/>
      <c r="J38" s="8"/>
      <c r="K38" s="7" t="s">
        <v>47</v>
      </c>
      <c r="L38" s="24"/>
    </row>
    <row r="39" spans="2:12" x14ac:dyDescent="0.3">
      <c r="B39" s="23" t="s">
        <v>99</v>
      </c>
      <c r="C39" s="24" t="s">
        <v>100</v>
      </c>
      <c r="D39" s="7">
        <v>1.5</v>
      </c>
      <c r="E39" s="7" t="s">
        <v>50</v>
      </c>
      <c r="F39" s="25">
        <f>IF($E39="N/A","",VLOOKUP($E39,AvanceTbl,2,FALSE()))</f>
        <v>0</v>
      </c>
      <c r="G39" s="8"/>
      <c r="H39" s="8"/>
      <c r="I39" s="8"/>
      <c r="J39" s="8"/>
      <c r="K39" s="7" t="s">
        <v>47</v>
      </c>
      <c r="L39" s="24"/>
    </row>
    <row r="40" spans="2:12" x14ac:dyDescent="0.3">
      <c r="B40" s="23" t="s">
        <v>101</v>
      </c>
      <c r="C40" s="24" t="s">
        <v>102</v>
      </c>
      <c r="D40" s="7">
        <v>0.5</v>
      </c>
      <c r="E40" s="7" t="s">
        <v>50</v>
      </c>
      <c r="F40" s="25">
        <f>IF($E40="N/A","",VLOOKUP($E40,AvanceTbl,2,FALSE()))</f>
        <v>0</v>
      </c>
      <c r="G40" s="8"/>
      <c r="H40" s="8"/>
      <c r="I40" s="8"/>
      <c r="J40" s="8"/>
      <c r="K40" s="7" t="s">
        <v>47</v>
      </c>
      <c r="L40" s="24"/>
    </row>
    <row r="41" spans="2:12" x14ac:dyDescent="0.3">
      <c r="B41" s="23" t="s">
        <v>103</v>
      </c>
      <c r="C41" s="24" t="s">
        <v>104</v>
      </c>
      <c r="D41" s="7">
        <v>0.5</v>
      </c>
      <c r="E41" s="7" t="s">
        <v>50</v>
      </c>
      <c r="F41" s="25">
        <f>IF($E41="N/A","",VLOOKUP($E41,AvanceTbl,2,FALSE()))</f>
        <v>0</v>
      </c>
      <c r="G41" s="8"/>
      <c r="H41" s="8"/>
      <c r="I41" s="8"/>
      <c r="J41" s="8"/>
      <c r="K41" s="7" t="s">
        <v>47</v>
      </c>
      <c r="L41" s="24"/>
    </row>
    <row r="42" spans="2:12" x14ac:dyDescent="0.3">
      <c r="B42" s="23" t="s">
        <v>105</v>
      </c>
      <c r="C42" s="24" t="s">
        <v>106</v>
      </c>
      <c r="D42" s="7">
        <v>1</v>
      </c>
      <c r="E42" s="7" t="s">
        <v>50</v>
      </c>
      <c r="F42" s="25">
        <f>IF($E42="N/A","",VLOOKUP($E42,AvanceTbl,2,FALSE()))</f>
        <v>0</v>
      </c>
      <c r="G42" s="8"/>
      <c r="H42" s="8"/>
      <c r="I42" s="8"/>
      <c r="J42" s="8"/>
      <c r="K42" s="7" t="s">
        <v>44</v>
      </c>
      <c r="L42" s="24"/>
    </row>
    <row r="43" spans="2:12" x14ac:dyDescent="0.3">
      <c r="B43" s="18"/>
      <c r="C43" s="19" t="s">
        <v>107</v>
      </c>
      <c r="D43" s="20">
        <f>SUMIF($E44:$E46,"&lt;&gt;N/A",$D44:$D46)</f>
        <v>10</v>
      </c>
      <c r="E43" s="18"/>
      <c r="F43" s="21">
        <f t="array" ref="F43">IFERROR(SUMPRODUCT(($E44:$E46&lt;&gt;"N/A")*$D44:$D46,IF($E44:$E46="N/A",0,$F44:$F46))/$D43,0)</f>
        <v>0</v>
      </c>
      <c r="G43" s="22">
        <v>46282</v>
      </c>
      <c r="H43" s="22">
        <v>46282</v>
      </c>
      <c r="I43" s="18"/>
      <c r="J43" s="18"/>
      <c r="K43" s="1"/>
      <c r="L43" s="18"/>
    </row>
    <row r="44" spans="2:12" x14ac:dyDescent="0.3">
      <c r="B44" s="23" t="s">
        <v>108</v>
      </c>
      <c r="C44" s="24" t="s">
        <v>109</v>
      </c>
      <c r="D44" s="7">
        <v>5</v>
      </c>
      <c r="E44" s="7" t="s">
        <v>50</v>
      </c>
      <c r="F44" s="25">
        <f>IF($E44="N/A","",VLOOKUP($E44,AvanceTbl,2,FALSE()))</f>
        <v>0</v>
      </c>
      <c r="G44" s="8"/>
      <c r="H44" s="8"/>
      <c r="I44" s="8"/>
      <c r="J44" s="8"/>
      <c r="K44" s="7" t="s">
        <v>47</v>
      </c>
      <c r="L44" s="24"/>
    </row>
    <row r="45" spans="2:12" x14ac:dyDescent="0.3">
      <c r="B45" s="23" t="s">
        <v>110</v>
      </c>
      <c r="C45" s="24" t="s">
        <v>111</v>
      </c>
      <c r="D45" s="7">
        <v>3</v>
      </c>
      <c r="E45" s="7" t="s">
        <v>50</v>
      </c>
      <c r="F45" s="25">
        <f>IF($E45="N/A","",VLOOKUP($E45,AvanceTbl,2,FALSE()))</f>
        <v>0</v>
      </c>
      <c r="G45" s="8"/>
      <c r="H45" s="8"/>
      <c r="I45" s="8"/>
      <c r="J45" s="8"/>
      <c r="K45" s="7" t="s">
        <v>44</v>
      </c>
      <c r="L45" s="24"/>
    </row>
    <row r="46" spans="2:12" x14ac:dyDescent="0.3">
      <c r="B46" s="23" t="s">
        <v>112</v>
      </c>
      <c r="C46" s="24" t="s">
        <v>113</v>
      </c>
      <c r="D46" s="7">
        <v>2</v>
      </c>
      <c r="E46" s="7" t="s">
        <v>50</v>
      </c>
      <c r="F46" s="25">
        <f>IF($E46="N/A","",VLOOKUP($E46,AvanceTbl,2,FALSE()))</f>
        <v>0</v>
      </c>
      <c r="G46" s="8"/>
      <c r="H46" s="8"/>
      <c r="I46" s="8"/>
      <c r="J46" s="8"/>
      <c r="K46" s="7" t="s">
        <v>44</v>
      </c>
      <c r="L46" s="24"/>
    </row>
    <row r="47" spans="2:12" x14ac:dyDescent="0.3">
      <c r="B47" s="18"/>
      <c r="C47" s="19" t="s">
        <v>114</v>
      </c>
      <c r="D47" s="20">
        <f>SUMIF($E48:$E51,"&lt;&gt;N/A",$D48:$D51)</f>
        <v>5</v>
      </c>
      <c r="E47" s="18"/>
      <c r="F47" s="21">
        <f t="array" ref="F47">IFERROR(SUMPRODUCT(($E48:$E51&lt;&gt;"N/A")*$D48:$D51,IF($E48:$E51="N/A",0,$F48:$F51))/$D47,0)</f>
        <v>0</v>
      </c>
      <c r="G47" s="22">
        <v>46285</v>
      </c>
      <c r="H47" s="22">
        <v>46286</v>
      </c>
      <c r="I47" s="18"/>
      <c r="J47" s="18"/>
      <c r="K47" s="1"/>
      <c r="L47" s="18"/>
    </row>
    <row r="48" spans="2:12" x14ac:dyDescent="0.3">
      <c r="B48" s="23" t="s">
        <v>115</v>
      </c>
      <c r="C48" s="24" t="s">
        <v>116</v>
      </c>
      <c r="D48" s="7">
        <v>1.5</v>
      </c>
      <c r="E48" s="7" t="s">
        <v>50</v>
      </c>
      <c r="F48" s="25">
        <f>IF($E48="N/A","",VLOOKUP($E48,AvanceTbl,2,FALSE()))</f>
        <v>0</v>
      </c>
      <c r="G48" s="8"/>
      <c r="H48" s="8"/>
      <c r="I48" s="8"/>
      <c r="J48" s="8"/>
      <c r="K48" s="7" t="s">
        <v>47</v>
      </c>
      <c r="L48" s="24"/>
    </row>
    <row r="49" spans="2:12" x14ac:dyDescent="0.3">
      <c r="B49" s="23" t="s">
        <v>117</v>
      </c>
      <c r="C49" s="24" t="s">
        <v>118</v>
      </c>
      <c r="D49" s="7">
        <v>1</v>
      </c>
      <c r="E49" s="7" t="s">
        <v>50</v>
      </c>
      <c r="F49" s="25">
        <f>IF($E49="N/A","",VLOOKUP($E49,AvanceTbl,2,FALSE()))</f>
        <v>0</v>
      </c>
      <c r="G49" s="8"/>
      <c r="H49" s="8"/>
      <c r="I49" s="8"/>
      <c r="J49" s="8"/>
      <c r="K49" s="7" t="s">
        <v>47</v>
      </c>
      <c r="L49" s="24"/>
    </row>
    <row r="50" spans="2:12" x14ac:dyDescent="0.3">
      <c r="B50" s="23" t="s">
        <v>119</v>
      </c>
      <c r="C50" s="24" t="s">
        <v>120</v>
      </c>
      <c r="D50" s="7">
        <v>1.5</v>
      </c>
      <c r="E50" s="7" t="s">
        <v>50</v>
      </c>
      <c r="F50" s="25">
        <f>IF($E50="N/A","",VLOOKUP($E50,AvanceTbl,2,FALSE()))</f>
        <v>0</v>
      </c>
      <c r="G50" s="8"/>
      <c r="H50" s="8"/>
      <c r="I50" s="8"/>
      <c r="J50" s="8"/>
      <c r="K50" s="7" t="s">
        <v>47</v>
      </c>
      <c r="L50" s="24"/>
    </row>
    <row r="51" spans="2:12" x14ac:dyDescent="0.3">
      <c r="B51" s="23" t="s">
        <v>121</v>
      </c>
      <c r="C51" s="24" t="s">
        <v>122</v>
      </c>
      <c r="D51" s="7">
        <v>1</v>
      </c>
      <c r="E51" s="7" t="s">
        <v>50</v>
      </c>
      <c r="F51" s="25">
        <f>IF($E51="N/A","",VLOOKUP($E51,AvanceTbl,2,FALSE()))</f>
        <v>0</v>
      </c>
      <c r="G51" s="8"/>
      <c r="H51" s="8"/>
      <c r="I51" s="8"/>
      <c r="J51" s="8"/>
      <c r="K51" s="7" t="s">
        <v>44</v>
      </c>
      <c r="L51" s="24"/>
    </row>
    <row r="52" spans="2:12" x14ac:dyDescent="0.3">
      <c r="B52" s="18"/>
      <c r="C52" s="19" t="s">
        <v>123</v>
      </c>
      <c r="D52" s="20">
        <f>SUMIF($E53:$E56,"&lt;&gt;N/A",$D53:$D56)</f>
        <v>7</v>
      </c>
      <c r="E52" s="18"/>
      <c r="F52" s="21">
        <f t="array" ref="F52">IFERROR(SUMPRODUCT(($E53:$E56&lt;&gt;"N/A")*$D53:$D56,IF($E53:$E56="N/A",0,$F53:$F56))/$D52,0)</f>
        <v>0</v>
      </c>
      <c r="G52" s="22">
        <v>46286</v>
      </c>
      <c r="H52" s="22">
        <v>46286</v>
      </c>
      <c r="I52" s="18"/>
      <c r="J52" s="18"/>
      <c r="K52" s="1"/>
      <c r="L52" s="18"/>
    </row>
    <row r="53" spans="2:12" x14ac:dyDescent="0.3">
      <c r="B53" s="23" t="s">
        <v>124</v>
      </c>
      <c r="C53" s="24" t="s">
        <v>125</v>
      </c>
      <c r="D53" s="7">
        <v>2</v>
      </c>
      <c r="E53" s="7" t="s">
        <v>50</v>
      </c>
      <c r="F53" s="25">
        <f>IF($E53="N/A","",VLOOKUP($E53,AvanceTbl,2,FALSE()))</f>
        <v>0</v>
      </c>
      <c r="G53" s="8"/>
      <c r="H53" s="8"/>
      <c r="I53" s="8"/>
      <c r="J53" s="8"/>
      <c r="K53" s="7" t="s">
        <v>44</v>
      </c>
      <c r="L53" s="24"/>
    </row>
    <row r="54" spans="2:12" x14ac:dyDescent="0.3">
      <c r="B54" s="23" t="s">
        <v>126</v>
      </c>
      <c r="C54" s="24" t="s">
        <v>127</v>
      </c>
      <c r="D54" s="7">
        <v>2</v>
      </c>
      <c r="E54" s="7" t="s">
        <v>50</v>
      </c>
      <c r="F54" s="25">
        <f>IF($E54="N/A","",VLOOKUP($E54,AvanceTbl,2,FALSE()))</f>
        <v>0</v>
      </c>
      <c r="G54" s="8"/>
      <c r="H54" s="8"/>
      <c r="I54" s="8"/>
      <c r="J54" s="8"/>
      <c r="K54" s="7" t="s">
        <v>44</v>
      </c>
      <c r="L54" s="24"/>
    </row>
    <row r="55" spans="2:12" x14ac:dyDescent="0.3">
      <c r="B55" s="23" t="s">
        <v>128</v>
      </c>
      <c r="C55" s="24" t="s">
        <v>129</v>
      </c>
      <c r="D55" s="7">
        <v>2</v>
      </c>
      <c r="E55" s="7" t="s">
        <v>50</v>
      </c>
      <c r="F55" s="25">
        <f>IF($E55="N/A","",VLOOKUP($E55,AvanceTbl,2,FALSE()))</f>
        <v>0</v>
      </c>
      <c r="G55" s="8"/>
      <c r="H55" s="8"/>
      <c r="I55" s="8"/>
      <c r="J55" s="8"/>
      <c r="K55" s="7" t="s">
        <v>44</v>
      </c>
      <c r="L55" s="24"/>
    </row>
    <row r="56" spans="2:12" x14ac:dyDescent="0.3">
      <c r="B56" s="23" t="s">
        <v>130</v>
      </c>
      <c r="C56" s="24" t="s">
        <v>131</v>
      </c>
      <c r="D56" s="7">
        <v>1</v>
      </c>
      <c r="E56" s="7" t="s">
        <v>50</v>
      </c>
      <c r="F56" s="25">
        <f>IF($E56="N/A","",VLOOKUP($E56,AvanceTbl,2,FALSE()))</f>
        <v>0</v>
      </c>
      <c r="G56" s="8"/>
      <c r="H56" s="8"/>
      <c r="I56" s="8"/>
      <c r="J56" s="8"/>
      <c r="K56" s="7" t="s">
        <v>132</v>
      </c>
      <c r="L56" s="2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52" priority="2" operator="equal">
      <formula>"Completado"</formula>
    </cfRule>
    <cfRule type="cellIs" dxfId="51" priority="3" operator="equal">
      <formula>"En proceso"</formula>
    </cfRule>
    <cfRule type="cellIs" dxfId="50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{97D0C93C-003D-4C1B-8A4A-23D82089C2FA}</x14:id>
        </ext>
      </extLst>
    </cfRule>
  </conditionalFormatting>
  <conditionalFormatting sqref="G11:G15">
    <cfRule type="expression" dxfId="49" priority="6">
      <formula>AND($G11&lt;&gt;"",$G11&lt;TODAY(),$E11&lt;&gt;"Completado",$E11&lt;&gt;"N/A")</formula>
    </cfRule>
  </conditionalFormatting>
  <conditionalFormatting sqref="G17:G22">
    <cfRule type="expression" dxfId="48" priority="7">
      <formula>AND($G17&lt;&gt;"",$G17&lt;TODAY(),$E17&lt;&gt;"Completado",$E17&lt;&gt;"N/A")</formula>
    </cfRule>
  </conditionalFormatting>
  <conditionalFormatting sqref="G24:G29">
    <cfRule type="expression" dxfId="47" priority="8">
      <formula>AND($G24&lt;&gt;"",$G24&lt;TODAY(),$E24&lt;&gt;"Completado",$E24&lt;&gt;"N/A")</formula>
    </cfRule>
  </conditionalFormatting>
  <conditionalFormatting sqref="G31:G36">
    <cfRule type="expression" dxfId="46" priority="9">
      <formula>AND($G31&lt;&gt;"",$G31&lt;TODAY(),$E31&lt;&gt;"Completado",$E31&lt;&gt;"N/A")</formula>
    </cfRule>
  </conditionalFormatting>
  <conditionalFormatting sqref="G38:G42">
    <cfRule type="expression" dxfId="45" priority="10">
      <formula>AND($G38&lt;&gt;"",$G38&lt;TODAY(),$E38&lt;&gt;"Completado",$E38&lt;&gt;"N/A")</formula>
    </cfRule>
  </conditionalFormatting>
  <conditionalFormatting sqref="G44:G46">
    <cfRule type="expression" dxfId="44" priority="11">
      <formula>AND($G44&lt;&gt;"",$G44&lt;TODAY(),$E44&lt;&gt;"Completado",$E44&lt;&gt;"N/A")</formula>
    </cfRule>
  </conditionalFormatting>
  <conditionalFormatting sqref="G48:G51">
    <cfRule type="expression" dxfId="43" priority="12">
      <formula>AND($G48&lt;&gt;"",$G48&lt;TODAY(),$E48&lt;&gt;"Completado",$E48&lt;&gt;"N/A")</formula>
    </cfRule>
  </conditionalFormatting>
  <conditionalFormatting sqref="G53:G56">
    <cfRule type="expression" dxfId="42" priority="13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300-000000000000}">
      <formula1>EstadoList</formula1>
      <formula2>0</formula2>
    </dataValidation>
  </dataValidations>
  <pageMargins left="0.25" right="0.25" top="0.75" bottom="0.75" header="0.511811023622047" footer="0.511811023622047"/>
  <pageSetup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D0C93C-003D-4C1B-8A4A-23D82089C2F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496"/>
    <pageSetUpPr fitToPage="1"/>
  </sheetPr>
  <dimension ref="B2:L56"/>
  <sheetViews>
    <sheetView showGridLines="0" zoomScale="85" zoomScaleNormal="85" workbookViewId="0">
      <selection activeCell="C5" sqref="C5:E5"/>
    </sheetView>
  </sheetViews>
  <sheetFormatPr baseColWidth="10" defaultColWidth="8.6640625" defaultRowHeight="14.4" x14ac:dyDescent="0.3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25" customHeight="1" x14ac:dyDescent="0.3">
      <c r="B2" s="42" t="s">
        <v>137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12" x14ac:dyDescent="0.3">
      <c r="B4" s="17" t="s">
        <v>22</v>
      </c>
      <c r="C4" s="43" t="s">
        <v>183</v>
      </c>
      <c r="D4" s="43"/>
      <c r="E4" s="43"/>
      <c r="F4" s="17" t="s">
        <v>23</v>
      </c>
      <c r="G4" s="43" t="s">
        <v>13</v>
      </c>
      <c r="H4" s="43"/>
      <c r="I4" s="17" t="s">
        <v>24</v>
      </c>
      <c r="J4" s="43"/>
      <c r="K4" s="43"/>
      <c r="L4" s="43"/>
    </row>
    <row r="5" spans="2:12" x14ac:dyDescent="0.3">
      <c r="B5" s="17" t="s">
        <v>25</v>
      </c>
      <c r="C5" s="43" t="s">
        <v>47</v>
      </c>
      <c r="D5" s="43"/>
      <c r="E5" s="43"/>
      <c r="F5" s="17" t="s">
        <v>26</v>
      </c>
      <c r="G5" s="43"/>
      <c r="H5" s="43"/>
      <c r="I5" s="17" t="s">
        <v>28</v>
      </c>
      <c r="J5" s="45">
        <v>46234</v>
      </c>
      <c r="K5" s="45"/>
      <c r="L5" s="45"/>
    </row>
    <row r="7" spans="2:12" ht="21" customHeight="1" x14ac:dyDescent="0.3">
      <c r="B7" s="40" t="s">
        <v>29</v>
      </c>
      <c r="C7" s="40"/>
      <c r="D7" s="40"/>
      <c r="E7" s="40"/>
      <c r="F7" s="40"/>
      <c r="G7" s="41">
        <f>IFERROR(($D10*$F10+$D16*$F16+$D23*$F23+$D30*$F30+$D37*$F37+$D43*$F43+$D47*$F47+$D52*$F52)/($D10+$D16+$D23+$D30+$D37+$D43+$D47+$D52),0)</f>
        <v>0.5178571428571429</v>
      </c>
      <c r="H7" s="41"/>
      <c r="I7" s="41"/>
      <c r="J7" s="41"/>
      <c r="K7" s="41"/>
      <c r="L7" s="41"/>
    </row>
    <row r="9" spans="2:12" x14ac:dyDescent="0.3"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5</v>
      </c>
      <c r="H9" s="4" t="s">
        <v>35</v>
      </c>
      <c r="I9" s="4" t="s">
        <v>36</v>
      </c>
      <c r="J9" s="4" t="s">
        <v>37</v>
      </c>
      <c r="K9" s="4" t="s">
        <v>38</v>
      </c>
      <c r="L9" s="4" t="s">
        <v>39</v>
      </c>
    </row>
    <row r="10" spans="2:12" x14ac:dyDescent="0.3">
      <c r="B10" s="18"/>
      <c r="C10" s="19" t="s">
        <v>40</v>
      </c>
      <c r="D10" s="20">
        <f>SUMIF($E11:$E15,"&lt;&gt;N/A",$D11:$D15)</f>
        <v>15</v>
      </c>
      <c r="E10" s="18"/>
      <c r="F10" s="21">
        <f t="array" ref="F10">IFERROR(SUMPRODUCT(($E11:$E15&lt;&gt;"N/A")*$D11:$D15,IF($E11:$E15="N/A",0,$F11:$F15))/$D10,0)</f>
        <v>0.71666666666666667</v>
      </c>
      <c r="G10" s="22">
        <v>46237</v>
      </c>
      <c r="H10" s="22">
        <v>46240</v>
      </c>
      <c r="I10" s="22">
        <v>46203</v>
      </c>
      <c r="J10" s="22">
        <v>46211</v>
      </c>
      <c r="K10" s="18"/>
      <c r="L10" s="18"/>
    </row>
    <row r="11" spans="2:12" ht="26.25" customHeight="1" x14ac:dyDescent="0.3">
      <c r="B11" s="23" t="s">
        <v>41</v>
      </c>
      <c r="C11" s="24" t="s">
        <v>42</v>
      </c>
      <c r="D11" s="7">
        <v>1.5</v>
      </c>
      <c r="E11" s="7" t="s">
        <v>43</v>
      </c>
      <c r="F11" s="25">
        <f>IF($E11="N/A","",VLOOKUP($E11,AvanceTbl,2,FALSE()))</f>
        <v>1</v>
      </c>
      <c r="G11" s="8"/>
      <c r="H11" s="8"/>
      <c r="I11" s="8"/>
      <c r="J11" s="8"/>
      <c r="K11" s="7" t="s">
        <v>44</v>
      </c>
      <c r="L11" s="24"/>
    </row>
    <row r="12" spans="2:12" x14ac:dyDescent="0.3">
      <c r="B12" s="23" t="s">
        <v>45</v>
      </c>
      <c r="C12" s="24" t="s">
        <v>46</v>
      </c>
      <c r="D12" s="7">
        <v>5</v>
      </c>
      <c r="E12" s="7" t="s">
        <v>43</v>
      </c>
      <c r="F12" s="25">
        <f>IF($E12="N/A","",VLOOKUP($E12,AvanceTbl,2,FALSE()))</f>
        <v>1</v>
      </c>
      <c r="G12" s="8"/>
      <c r="H12" s="8"/>
      <c r="I12" s="8"/>
      <c r="J12" s="8"/>
      <c r="K12" s="7" t="s">
        <v>47</v>
      </c>
      <c r="L12" s="24"/>
    </row>
    <row r="13" spans="2:12" x14ac:dyDescent="0.3">
      <c r="B13" s="23" t="s">
        <v>48</v>
      </c>
      <c r="C13" s="24" t="s">
        <v>49</v>
      </c>
      <c r="D13" s="7">
        <v>4</v>
      </c>
      <c r="E13" s="7" t="s">
        <v>72</v>
      </c>
      <c r="F13" s="25">
        <f>IF($E13="N/A","",VLOOKUP($E13,AvanceTbl,2,FALSE()))</f>
        <v>0.5</v>
      </c>
      <c r="G13" s="8"/>
      <c r="H13" s="8"/>
      <c r="I13" s="8"/>
      <c r="J13" s="8"/>
      <c r="K13" s="7" t="s">
        <v>47</v>
      </c>
      <c r="L13" s="24"/>
    </row>
    <row r="14" spans="2:12" x14ac:dyDescent="0.3">
      <c r="B14" s="23" t="s">
        <v>51</v>
      </c>
      <c r="C14" s="24" t="s">
        <v>52</v>
      </c>
      <c r="D14" s="7">
        <v>2</v>
      </c>
      <c r="E14" s="7" t="s">
        <v>72</v>
      </c>
      <c r="F14" s="25">
        <f>IF($E14="N/A","",VLOOKUP($E14,AvanceTbl,2,FALSE()))</f>
        <v>0.5</v>
      </c>
      <c r="G14" s="8"/>
      <c r="H14" s="8"/>
      <c r="I14" s="8"/>
      <c r="J14" s="8"/>
      <c r="K14" s="7" t="s">
        <v>47</v>
      </c>
      <c r="L14" s="24"/>
    </row>
    <row r="15" spans="2:12" x14ac:dyDescent="0.3">
      <c r="B15" s="23" t="s">
        <v>53</v>
      </c>
      <c r="C15" s="24" t="s">
        <v>54</v>
      </c>
      <c r="D15" s="7">
        <v>2.5</v>
      </c>
      <c r="E15" s="7" t="s">
        <v>72</v>
      </c>
      <c r="F15" s="25">
        <f>IF($E15="N/A","",VLOOKUP($E15,AvanceTbl,2,FALSE()))</f>
        <v>0.5</v>
      </c>
      <c r="G15" s="8"/>
      <c r="H15" s="8"/>
      <c r="I15" s="8"/>
      <c r="J15" s="8"/>
      <c r="K15" s="7" t="s">
        <v>44</v>
      </c>
      <c r="L15" s="24"/>
    </row>
    <row r="16" spans="2:12" x14ac:dyDescent="0.3">
      <c r="B16" s="18"/>
      <c r="C16" s="19" t="s">
        <v>55</v>
      </c>
      <c r="D16" s="20">
        <f>SUMIF($E17:$E22,"&lt;&gt;N/A",$D17:$D22)</f>
        <v>10</v>
      </c>
      <c r="E16" s="18"/>
      <c r="F16" s="21">
        <f t="array" ref="F16">IFERROR(SUMPRODUCT(($E17:$E22&lt;&gt;"N/A")*$D17:$D22,IF($E17:$E22="N/A",0,$F17:$F22))/$D16,0)</f>
        <v>0.82499999999999996</v>
      </c>
      <c r="G16" s="22">
        <v>46274</v>
      </c>
      <c r="H16" s="22">
        <v>46275</v>
      </c>
      <c r="I16" s="22">
        <v>46206</v>
      </c>
      <c r="J16" s="22"/>
      <c r="K16" s="1"/>
      <c r="L16" s="18"/>
    </row>
    <row r="17" spans="2:12" ht="26.25" customHeight="1" x14ac:dyDescent="0.3">
      <c r="B17" s="23" t="s">
        <v>56</v>
      </c>
      <c r="C17" s="24" t="s">
        <v>57</v>
      </c>
      <c r="D17" s="7">
        <v>1.5</v>
      </c>
      <c r="E17" s="7" t="s">
        <v>43</v>
      </c>
      <c r="F17" s="25">
        <f t="shared" ref="F17:F22" si="0">IF($E17="N/A","",VLOOKUP($E17,AvanceTbl,2,FALSE()))</f>
        <v>1</v>
      </c>
      <c r="G17" s="8"/>
      <c r="H17" s="8"/>
      <c r="I17" s="8"/>
      <c r="J17" s="8"/>
      <c r="K17" s="7" t="s">
        <v>44</v>
      </c>
      <c r="L17" s="24"/>
    </row>
    <row r="18" spans="2:12" x14ac:dyDescent="0.3">
      <c r="B18" s="23" t="s">
        <v>58</v>
      </c>
      <c r="C18" s="24" t="s">
        <v>59</v>
      </c>
      <c r="D18" s="7">
        <v>3</v>
      </c>
      <c r="E18" s="7" t="s">
        <v>43</v>
      </c>
      <c r="F18" s="25">
        <f t="shared" si="0"/>
        <v>1</v>
      </c>
      <c r="G18" s="8"/>
      <c r="H18" s="8"/>
      <c r="I18" s="8"/>
      <c r="J18" s="8"/>
      <c r="K18" s="7" t="s">
        <v>47</v>
      </c>
      <c r="L18" s="24"/>
    </row>
    <row r="19" spans="2:12" x14ac:dyDescent="0.3">
      <c r="B19" s="23" t="s">
        <v>60</v>
      </c>
      <c r="C19" s="24" t="s">
        <v>61</v>
      </c>
      <c r="D19" s="7">
        <v>3</v>
      </c>
      <c r="E19" s="7" t="s">
        <v>43</v>
      </c>
      <c r="F19" s="25">
        <f t="shared" si="0"/>
        <v>1</v>
      </c>
      <c r="G19" s="8"/>
      <c r="H19" s="8"/>
      <c r="I19" s="8"/>
      <c r="J19" s="8"/>
      <c r="K19" s="7" t="s">
        <v>47</v>
      </c>
      <c r="L19" s="24"/>
    </row>
    <row r="20" spans="2:12" x14ac:dyDescent="0.3">
      <c r="B20" s="23" t="s">
        <v>62</v>
      </c>
      <c r="C20" s="24" t="s">
        <v>63</v>
      </c>
      <c r="D20" s="7">
        <v>2</v>
      </c>
      <c r="E20" s="7" t="s">
        <v>64</v>
      </c>
      <c r="F20" s="25" t="str">
        <f t="shared" si="0"/>
        <v/>
      </c>
      <c r="G20" s="8"/>
      <c r="H20" s="8"/>
      <c r="I20" s="8"/>
      <c r="J20" s="8"/>
      <c r="K20" s="7" t="s">
        <v>47</v>
      </c>
      <c r="L20" s="24"/>
    </row>
    <row r="21" spans="2:12" x14ac:dyDescent="0.3">
      <c r="B21" s="23" t="s">
        <v>65</v>
      </c>
      <c r="C21" s="24" t="s">
        <v>66</v>
      </c>
      <c r="D21" s="7">
        <v>1.5</v>
      </c>
      <c r="E21" s="7" t="s">
        <v>72</v>
      </c>
      <c r="F21" s="25">
        <f t="shared" si="0"/>
        <v>0.5</v>
      </c>
      <c r="G21" s="8"/>
      <c r="H21" s="8"/>
      <c r="I21" s="8"/>
      <c r="J21" s="8"/>
      <c r="K21" s="7" t="s">
        <v>47</v>
      </c>
      <c r="L21" s="24"/>
    </row>
    <row r="22" spans="2:12" x14ac:dyDescent="0.3">
      <c r="B22" s="23" t="s">
        <v>67</v>
      </c>
      <c r="C22" s="24" t="s">
        <v>68</v>
      </c>
      <c r="D22" s="7">
        <v>1</v>
      </c>
      <c r="E22" s="7" t="s">
        <v>50</v>
      </c>
      <c r="F22" s="25">
        <f t="shared" si="0"/>
        <v>0</v>
      </c>
      <c r="G22" s="8"/>
      <c r="H22" s="8"/>
      <c r="I22" s="8"/>
      <c r="J22" s="8"/>
      <c r="K22" s="7" t="s">
        <v>47</v>
      </c>
      <c r="L22" s="24"/>
    </row>
    <row r="23" spans="2:12" x14ac:dyDescent="0.3">
      <c r="B23" s="18"/>
      <c r="C23" s="19" t="s">
        <v>69</v>
      </c>
      <c r="D23" s="20">
        <f>SUMIF($E24:$E29,"&lt;&gt;N/A",$D24:$D29)</f>
        <v>28</v>
      </c>
      <c r="E23" s="18"/>
      <c r="F23" s="21">
        <f t="array" ref="F23">IFERROR(SUMPRODUCT(($E24:$E29&lt;&gt;"N/A")*$D24:$D29,IF($E24:$E29="N/A",0,$F24:$F29))/$D23,0)</f>
        <v>0.8571428571428571</v>
      </c>
      <c r="G23" s="22">
        <v>46274</v>
      </c>
      <c r="H23" s="22">
        <v>46275</v>
      </c>
      <c r="I23" s="18"/>
      <c r="J23" s="18"/>
      <c r="K23" s="1"/>
      <c r="L23" s="18"/>
    </row>
    <row r="24" spans="2:12" x14ac:dyDescent="0.3">
      <c r="B24" s="23" t="s">
        <v>70</v>
      </c>
      <c r="C24" s="24" t="s">
        <v>71</v>
      </c>
      <c r="D24" s="7">
        <v>8</v>
      </c>
      <c r="E24" s="7" t="s">
        <v>43</v>
      </c>
      <c r="F24" s="25">
        <f t="shared" ref="F24:F29" si="1">IF($E24="N/A","",VLOOKUP($E24,AvanceTbl,2,FALSE()))</f>
        <v>1</v>
      </c>
      <c r="G24" s="8"/>
      <c r="H24" s="8"/>
      <c r="I24" s="8"/>
      <c r="J24" s="8"/>
      <c r="K24" s="7" t="s">
        <v>47</v>
      </c>
      <c r="L24" s="24"/>
    </row>
    <row r="25" spans="2:12" x14ac:dyDescent="0.3">
      <c r="B25" s="23" t="s">
        <v>73</v>
      </c>
      <c r="C25" s="24" t="s">
        <v>74</v>
      </c>
      <c r="D25" s="7">
        <v>8</v>
      </c>
      <c r="E25" s="7" t="s">
        <v>43</v>
      </c>
      <c r="F25" s="25">
        <f t="shared" si="1"/>
        <v>1</v>
      </c>
      <c r="G25" s="8"/>
      <c r="H25" s="8"/>
      <c r="I25" s="8"/>
      <c r="J25" s="8"/>
      <c r="K25" s="7" t="s">
        <v>47</v>
      </c>
      <c r="L25" s="24"/>
    </row>
    <row r="26" spans="2:12" x14ac:dyDescent="0.3">
      <c r="B26" s="23" t="s">
        <v>75</v>
      </c>
      <c r="C26" s="24" t="s">
        <v>76</v>
      </c>
      <c r="D26" s="7">
        <v>4</v>
      </c>
      <c r="E26" s="7" t="s">
        <v>43</v>
      </c>
      <c r="F26" s="25">
        <f t="shared" si="1"/>
        <v>1</v>
      </c>
      <c r="G26" s="8"/>
      <c r="H26" s="8"/>
      <c r="I26" s="8"/>
      <c r="J26" s="8"/>
      <c r="K26" s="7" t="s">
        <v>47</v>
      </c>
      <c r="L26" s="24"/>
    </row>
    <row r="27" spans="2:12" x14ac:dyDescent="0.3">
      <c r="B27" s="23" t="s">
        <v>77</v>
      </c>
      <c r="C27" s="24" t="s">
        <v>78</v>
      </c>
      <c r="D27" s="7">
        <v>4</v>
      </c>
      <c r="E27" s="7" t="s">
        <v>43</v>
      </c>
      <c r="F27" s="25">
        <f t="shared" si="1"/>
        <v>1</v>
      </c>
      <c r="G27" s="8"/>
      <c r="H27" s="8"/>
      <c r="I27" s="8"/>
      <c r="J27" s="8"/>
      <c r="K27" s="7" t="s">
        <v>47</v>
      </c>
      <c r="L27" s="24"/>
    </row>
    <row r="28" spans="2:12" x14ac:dyDescent="0.3">
      <c r="B28" s="23" t="s">
        <v>79</v>
      </c>
      <c r="C28" s="24" t="s">
        <v>80</v>
      </c>
      <c r="D28" s="7">
        <v>2</v>
      </c>
      <c r="E28" s="7" t="s">
        <v>50</v>
      </c>
      <c r="F28" s="25">
        <f t="shared" si="1"/>
        <v>0</v>
      </c>
      <c r="G28" s="8"/>
      <c r="H28" s="8"/>
      <c r="I28" s="8"/>
      <c r="J28" s="8"/>
      <c r="K28" s="7" t="s">
        <v>47</v>
      </c>
      <c r="L28" s="24"/>
    </row>
    <row r="29" spans="2:12" x14ac:dyDescent="0.3">
      <c r="B29" s="23" t="s">
        <v>81</v>
      </c>
      <c r="C29" s="24" t="s">
        <v>82</v>
      </c>
      <c r="D29" s="7">
        <v>2</v>
      </c>
      <c r="E29" s="7" t="s">
        <v>50</v>
      </c>
      <c r="F29" s="25">
        <f t="shared" si="1"/>
        <v>0</v>
      </c>
      <c r="G29" s="8"/>
      <c r="H29" s="8"/>
      <c r="I29" s="8"/>
      <c r="J29" s="8"/>
      <c r="K29" s="7" t="s">
        <v>47</v>
      </c>
      <c r="L29" s="24"/>
    </row>
    <row r="30" spans="2:12" x14ac:dyDescent="0.3">
      <c r="B30" s="18"/>
      <c r="C30" s="19" t="s">
        <v>83</v>
      </c>
      <c r="D30" s="20">
        <f>SUMIF($E31:$E36,"&lt;&gt;N/A",$D31:$D36)</f>
        <v>18</v>
      </c>
      <c r="E30" s="18"/>
      <c r="F30" s="21">
        <f t="array" ref="F30">IFERROR(SUMPRODUCT(($E31:$E36&lt;&gt;"N/A")*$D31:$D36,IF($E31:$E36="N/A",0,$F31:$F36))/$D30,0)</f>
        <v>0.3888888888888889</v>
      </c>
      <c r="G30" s="22">
        <v>46277</v>
      </c>
      <c r="H30" s="22">
        <v>46281</v>
      </c>
      <c r="I30" s="18"/>
      <c r="J30" s="18"/>
      <c r="K30" s="1"/>
      <c r="L30" s="18"/>
    </row>
    <row r="31" spans="2:12" x14ac:dyDescent="0.3">
      <c r="B31" s="23" t="s">
        <v>84</v>
      </c>
      <c r="C31" s="24" t="s">
        <v>85</v>
      </c>
      <c r="D31" s="7">
        <v>4</v>
      </c>
      <c r="E31" s="7" t="s">
        <v>72</v>
      </c>
      <c r="F31" s="25">
        <f t="shared" ref="F31:F36" si="2">IF($E31="N/A","",VLOOKUP($E31,AvanceTbl,2,FALSE()))</f>
        <v>0.5</v>
      </c>
      <c r="G31" s="8"/>
      <c r="H31" s="8"/>
      <c r="I31" s="8"/>
      <c r="J31" s="8"/>
      <c r="K31" s="7" t="s">
        <v>47</v>
      </c>
      <c r="L31" s="24"/>
    </row>
    <row r="32" spans="2:12" x14ac:dyDescent="0.3">
      <c r="B32" s="23" t="s">
        <v>86</v>
      </c>
      <c r="C32" s="24" t="s">
        <v>87</v>
      </c>
      <c r="D32" s="7">
        <v>3</v>
      </c>
      <c r="E32" s="7" t="s">
        <v>72</v>
      </c>
      <c r="F32" s="25">
        <f t="shared" si="2"/>
        <v>0.5</v>
      </c>
      <c r="G32" s="8"/>
      <c r="H32" s="8"/>
      <c r="I32" s="8"/>
      <c r="J32" s="8"/>
      <c r="K32" s="7" t="s">
        <v>47</v>
      </c>
      <c r="L32" s="24"/>
    </row>
    <row r="33" spans="2:12" x14ac:dyDescent="0.3">
      <c r="B33" s="23" t="s">
        <v>88</v>
      </c>
      <c r="C33" s="24" t="s">
        <v>89</v>
      </c>
      <c r="D33" s="7">
        <v>2</v>
      </c>
      <c r="E33" s="7" t="s">
        <v>72</v>
      </c>
      <c r="F33" s="25">
        <f t="shared" si="2"/>
        <v>0.5</v>
      </c>
      <c r="G33" s="8"/>
      <c r="H33" s="8"/>
      <c r="I33" s="8"/>
      <c r="J33" s="8"/>
      <c r="K33" s="7" t="s">
        <v>47</v>
      </c>
      <c r="L33" s="24"/>
    </row>
    <row r="34" spans="2:12" x14ac:dyDescent="0.3">
      <c r="B34" s="23" t="s">
        <v>90</v>
      </c>
      <c r="C34" s="24" t="s">
        <v>91</v>
      </c>
      <c r="D34" s="7">
        <v>5</v>
      </c>
      <c r="E34" s="7" t="s">
        <v>72</v>
      </c>
      <c r="F34" s="25">
        <f t="shared" si="2"/>
        <v>0.5</v>
      </c>
      <c r="G34" s="8"/>
      <c r="H34" s="8"/>
      <c r="I34" s="8"/>
      <c r="J34" s="8"/>
      <c r="K34" s="7" t="s">
        <v>47</v>
      </c>
      <c r="L34" s="24"/>
    </row>
    <row r="35" spans="2:12" x14ac:dyDescent="0.3">
      <c r="B35" s="23" t="s">
        <v>92</v>
      </c>
      <c r="C35" s="24" t="s">
        <v>93</v>
      </c>
      <c r="D35" s="7">
        <v>2</v>
      </c>
      <c r="E35" s="7" t="s">
        <v>50</v>
      </c>
      <c r="F35" s="25">
        <f t="shared" si="2"/>
        <v>0</v>
      </c>
      <c r="G35" s="8"/>
      <c r="H35" s="8"/>
      <c r="I35" s="8"/>
      <c r="J35" s="8"/>
      <c r="K35" s="7" t="s">
        <v>47</v>
      </c>
      <c r="L35" s="24"/>
    </row>
    <row r="36" spans="2:12" x14ac:dyDescent="0.3">
      <c r="B36" s="23" t="s">
        <v>94</v>
      </c>
      <c r="C36" s="24" t="s">
        <v>95</v>
      </c>
      <c r="D36" s="7">
        <v>2</v>
      </c>
      <c r="E36" s="7" t="s">
        <v>50</v>
      </c>
      <c r="F36" s="25">
        <f t="shared" si="2"/>
        <v>0</v>
      </c>
      <c r="G36" s="8"/>
      <c r="H36" s="8"/>
      <c r="I36" s="8"/>
      <c r="J36" s="8"/>
      <c r="K36" s="7" t="s">
        <v>47</v>
      </c>
      <c r="L36" s="24"/>
    </row>
    <row r="37" spans="2:12" x14ac:dyDescent="0.3">
      <c r="B37" s="18"/>
      <c r="C37" s="19" t="s">
        <v>96</v>
      </c>
      <c r="D37" s="20">
        <f>SUMIF($E38:$E42,"&lt;&gt;N/A",$D38:$D42)</f>
        <v>5</v>
      </c>
      <c r="E37" s="18"/>
      <c r="F37" s="21">
        <f t="array" ref="F37">IFERROR(SUMPRODUCT(($E38:$E42&lt;&gt;"N/A")*$D38:$D42,IF($E38:$E42="N/A",0,$F38:$F42))/$D37,0)</f>
        <v>0.15</v>
      </c>
      <c r="G37" s="22">
        <v>46282</v>
      </c>
      <c r="H37" s="22">
        <v>46282</v>
      </c>
      <c r="I37" s="18"/>
      <c r="J37" s="18"/>
      <c r="K37" s="1"/>
      <c r="L37" s="18"/>
    </row>
    <row r="38" spans="2:12" x14ac:dyDescent="0.3">
      <c r="B38" s="23" t="s">
        <v>97</v>
      </c>
      <c r="C38" s="24" t="s">
        <v>98</v>
      </c>
      <c r="D38" s="7">
        <v>1.5</v>
      </c>
      <c r="E38" s="7" t="s">
        <v>72</v>
      </c>
      <c r="F38" s="25">
        <f>IF($E38="N/A","",VLOOKUP($E38,AvanceTbl,2,FALSE()))</f>
        <v>0.5</v>
      </c>
      <c r="G38" s="8"/>
      <c r="H38" s="8"/>
      <c r="I38" s="8"/>
      <c r="J38" s="8"/>
      <c r="K38" s="7" t="s">
        <v>47</v>
      </c>
      <c r="L38" s="24"/>
    </row>
    <row r="39" spans="2:12" x14ac:dyDescent="0.3">
      <c r="B39" s="23" t="s">
        <v>99</v>
      </c>
      <c r="C39" s="24" t="s">
        <v>100</v>
      </c>
      <c r="D39" s="7">
        <v>1.5</v>
      </c>
      <c r="E39" s="7" t="s">
        <v>50</v>
      </c>
      <c r="F39" s="25">
        <f>IF($E39="N/A","",VLOOKUP($E39,AvanceTbl,2,FALSE()))</f>
        <v>0</v>
      </c>
      <c r="G39" s="8"/>
      <c r="H39" s="8"/>
      <c r="I39" s="8"/>
      <c r="J39" s="8"/>
      <c r="K39" s="7" t="s">
        <v>47</v>
      </c>
      <c r="L39" s="24"/>
    </row>
    <row r="40" spans="2:12" x14ac:dyDescent="0.3">
      <c r="B40" s="23" t="s">
        <v>101</v>
      </c>
      <c r="C40" s="24" t="s">
        <v>102</v>
      </c>
      <c r="D40" s="7">
        <v>0.5</v>
      </c>
      <c r="E40" s="7" t="s">
        <v>50</v>
      </c>
      <c r="F40" s="25">
        <f>IF($E40="N/A","",VLOOKUP($E40,AvanceTbl,2,FALSE()))</f>
        <v>0</v>
      </c>
      <c r="G40" s="8"/>
      <c r="H40" s="8"/>
      <c r="I40" s="8"/>
      <c r="J40" s="8"/>
      <c r="K40" s="7" t="s">
        <v>47</v>
      </c>
      <c r="L40" s="24"/>
    </row>
    <row r="41" spans="2:12" x14ac:dyDescent="0.3">
      <c r="B41" s="23" t="s">
        <v>103</v>
      </c>
      <c r="C41" s="24" t="s">
        <v>104</v>
      </c>
      <c r="D41" s="7">
        <v>0.5</v>
      </c>
      <c r="E41" s="7" t="s">
        <v>50</v>
      </c>
      <c r="F41" s="25">
        <f>IF($E41="N/A","",VLOOKUP($E41,AvanceTbl,2,FALSE()))</f>
        <v>0</v>
      </c>
      <c r="G41" s="8"/>
      <c r="H41" s="8"/>
      <c r="I41" s="8"/>
      <c r="J41" s="8"/>
      <c r="K41" s="7" t="s">
        <v>47</v>
      </c>
      <c r="L41" s="24"/>
    </row>
    <row r="42" spans="2:12" x14ac:dyDescent="0.3">
      <c r="B42" s="23" t="s">
        <v>105</v>
      </c>
      <c r="C42" s="24" t="s">
        <v>106</v>
      </c>
      <c r="D42" s="7">
        <v>1</v>
      </c>
      <c r="E42" s="7" t="s">
        <v>50</v>
      </c>
      <c r="F42" s="25">
        <f>IF($E42="N/A","",VLOOKUP($E42,AvanceTbl,2,FALSE()))</f>
        <v>0</v>
      </c>
      <c r="G42" s="8"/>
      <c r="H42" s="8"/>
      <c r="I42" s="8"/>
      <c r="J42" s="8"/>
      <c r="K42" s="7" t="s">
        <v>44</v>
      </c>
      <c r="L42" s="24"/>
    </row>
    <row r="43" spans="2:12" x14ac:dyDescent="0.3">
      <c r="B43" s="18"/>
      <c r="C43" s="19" t="s">
        <v>107</v>
      </c>
      <c r="D43" s="20">
        <f>SUMIF($E44:$E46,"&lt;&gt;N/A",$D44:$D46)</f>
        <v>10</v>
      </c>
      <c r="E43" s="18"/>
      <c r="F43" s="21">
        <f t="array" ref="F43">IFERROR(SUMPRODUCT(($E44:$E46&lt;&gt;"N/A")*$D44:$D46,IF($E44:$E46="N/A",0,$F44:$F46))/$D43,0)</f>
        <v>0</v>
      </c>
      <c r="G43" s="22">
        <v>46282</v>
      </c>
      <c r="H43" s="22">
        <v>46282</v>
      </c>
      <c r="I43" s="18"/>
      <c r="J43" s="18"/>
      <c r="K43" s="1"/>
      <c r="L43" s="18"/>
    </row>
    <row r="44" spans="2:12" x14ac:dyDescent="0.3">
      <c r="B44" s="23" t="s">
        <v>108</v>
      </c>
      <c r="C44" s="24" t="s">
        <v>109</v>
      </c>
      <c r="D44" s="7">
        <v>5</v>
      </c>
      <c r="E44" s="7" t="s">
        <v>50</v>
      </c>
      <c r="F44" s="25">
        <f>IF($E44="N/A","",VLOOKUP($E44,AvanceTbl,2,FALSE()))</f>
        <v>0</v>
      </c>
      <c r="G44" s="8"/>
      <c r="H44" s="8"/>
      <c r="I44" s="8"/>
      <c r="J44" s="8"/>
      <c r="K44" s="7" t="s">
        <v>47</v>
      </c>
      <c r="L44" s="24"/>
    </row>
    <row r="45" spans="2:12" x14ac:dyDescent="0.3">
      <c r="B45" s="23" t="s">
        <v>110</v>
      </c>
      <c r="C45" s="24" t="s">
        <v>111</v>
      </c>
      <c r="D45" s="7">
        <v>3</v>
      </c>
      <c r="E45" s="7" t="s">
        <v>50</v>
      </c>
      <c r="F45" s="25">
        <f>IF($E45="N/A","",VLOOKUP($E45,AvanceTbl,2,FALSE()))</f>
        <v>0</v>
      </c>
      <c r="G45" s="8"/>
      <c r="H45" s="8"/>
      <c r="I45" s="8"/>
      <c r="J45" s="8"/>
      <c r="K45" s="7" t="s">
        <v>44</v>
      </c>
      <c r="L45" s="24"/>
    </row>
    <row r="46" spans="2:12" x14ac:dyDescent="0.3">
      <c r="B46" s="23" t="s">
        <v>112</v>
      </c>
      <c r="C46" s="24" t="s">
        <v>113</v>
      </c>
      <c r="D46" s="7">
        <v>2</v>
      </c>
      <c r="E46" s="7" t="s">
        <v>50</v>
      </c>
      <c r="F46" s="25">
        <f>IF($E46="N/A","",VLOOKUP($E46,AvanceTbl,2,FALSE()))</f>
        <v>0</v>
      </c>
      <c r="G46" s="8"/>
      <c r="H46" s="8"/>
      <c r="I46" s="8"/>
      <c r="J46" s="8"/>
      <c r="K46" s="7" t="s">
        <v>44</v>
      </c>
      <c r="L46" s="24"/>
    </row>
    <row r="47" spans="2:12" x14ac:dyDescent="0.3">
      <c r="B47" s="18"/>
      <c r="C47" s="19" t="s">
        <v>114</v>
      </c>
      <c r="D47" s="20">
        <f>SUMIF($E48:$E51,"&lt;&gt;N/A",$D48:$D51)</f>
        <v>5</v>
      </c>
      <c r="E47" s="18"/>
      <c r="F47" s="21">
        <f t="array" ref="F47">IFERROR(SUMPRODUCT(($E48:$E51&lt;&gt;"N/A")*$D48:$D51,IF($E48:$E51="N/A",0,$F48:$F51))/$D47,0)</f>
        <v>0</v>
      </c>
      <c r="G47" s="22">
        <v>46285</v>
      </c>
      <c r="H47" s="22">
        <v>46286</v>
      </c>
      <c r="I47" s="18"/>
      <c r="J47" s="18"/>
      <c r="K47" s="1"/>
      <c r="L47" s="18"/>
    </row>
    <row r="48" spans="2:12" x14ac:dyDescent="0.3">
      <c r="B48" s="23" t="s">
        <v>115</v>
      </c>
      <c r="C48" s="24" t="s">
        <v>116</v>
      </c>
      <c r="D48" s="7">
        <v>1.5</v>
      </c>
      <c r="E48" s="7" t="s">
        <v>50</v>
      </c>
      <c r="F48" s="25">
        <f>IF($E48="N/A","",VLOOKUP($E48,AvanceTbl,2,FALSE()))</f>
        <v>0</v>
      </c>
      <c r="G48" s="8"/>
      <c r="H48" s="8"/>
      <c r="I48" s="8"/>
      <c r="J48" s="8"/>
      <c r="K48" s="7" t="s">
        <v>47</v>
      </c>
      <c r="L48" s="24"/>
    </row>
    <row r="49" spans="2:12" x14ac:dyDescent="0.3">
      <c r="B49" s="23" t="s">
        <v>117</v>
      </c>
      <c r="C49" s="24" t="s">
        <v>118</v>
      </c>
      <c r="D49" s="7">
        <v>1</v>
      </c>
      <c r="E49" s="7" t="s">
        <v>50</v>
      </c>
      <c r="F49" s="25">
        <f>IF($E49="N/A","",VLOOKUP($E49,AvanceTbl,2,FALSE()))</f>
        <v>0</v>
      </c>
      <c r="G49" s="8"/>
      <c r="H49" s="8"/>
      <c r="I49" s="8"/>
      <c r="J49" s="8"/>
      <c r="K49" s="7" t="s">
        <v>47</v>
      </c>
      <c r="L49" s="24"/>
    </row>
    <row r="50" spans="2:12" x14ac:dyDescent="0.3">
      <c r="B50" s="23" t="s">
        <v>119</v>
      </c>
      <c r="C50" s="24" t="s">
        <v>120</v>
      </c>
      <c r="D50" s="7">
        <v>1.5</v>
      </c>
      <c r="E50" s="7" t="s">
        <v>50</v>
      </c>
      <c r="F50" s="25">
        <f>IF($E50="N/A","",VLOOKUP($E50,AvanceTbl,2,FALSE()))</f>
        <v>0</v>
      </c>
      <c r="G50" s="8"/>
      <c r="H50" s="8"/>
      <c r="I50" s="8"/>
      <c r="J50" s="8"/>
      <c r="K50" s="7" t="s">
        <v>47</v>
      </c>
      <c r="L50" s="24"/>
    </row>
    <row r="51" spans="2:12" x14ac:dyDescent="0.3">
      <c r="B51" s="23" t="s">
        <v>121</v>
      </c>
      <c r="C51" s="24" t="s">
        <v>122</v>
      </c>
      <c r="D51" s="7">
        <v>1</v>
      </c>
      <c r="E51" s="7" t="s">
        <v>50</v>
      </c>
      <c r="F51" s="25">
        <f>IF($E51="N/A","",VLOOKUP($E51,AvanceTbl,2,FALSE()))</f>
        <v>0</v>
      </c>
      <c r="G51" s="8"/>
      <c r="H51" s="8"/>
      <c r="I51" s="8"/>
      <c r="J51" s="8"/>
      <c r="K51" s="7" t="s">
        <v>44</v>
      </c>
      <c r="L51" s="24"/>
    </row>
    <row r="52" spans="2:12" x14ac:dyDescent="0.3">
      <c r="B52" s="18"/>
      <c r="C52" s="19" t="s">
        <v>123</v>
      </c>
      <c r="D52" s="20">
        <f>SUMIF($E53:$E56,"&lt;&gt;N/A",$D53:$D56)</f>
        <v>7</v>
      </c>
      <c r="E52" s="18"/>
      <c r="F52" s="21">
        <f t="array" ref="F52">IFERROR(SUMPRODUCT(($E53:$E56&lt;&gt;"N/A")*$D53:$D56,IF($E53:$E56="N/A",0,$F53:$F56))/$D52,0)</f>
        <v>0</v>
      </c>
      <c r="G52" s="22">
        <v>46286</v>
      </c>
      <c r="H52" s="22">
        <v>46286</v>
      </c>
      <c r="I52" s="18"/>
      <c r="J52" s="18"/>
      <c r="K52" s="1"/>
      <c r="L52" s="18"/>
    </row>
    <row r="53" spans="2:12" x14ac:dyDescent="0.3">
      <c r="B53" s="23" t="s">
        <v>124</v>
      </c>
      <c r="C53" s="24" t="s">
        <v>125</v>
      </c>
      <c r="D53" s="7">
        <v>2</v>
      </c>
      <c r="E53" s="7" t="s">
        <v>50</v>
      </c>
      <c r="F53" s="25">
        <f>IF($E53="N/A","",VLOOKUP($E53,AvanceTbl,2,FALSE()))</f>
        <v>0</v>
      </c>
      <c r="G53" s="8"/>
      <c r="H53" s="8"/>
      <c r="I53" s="8"/>
      <c r="J53" s="8"/>
      <c r="K53" s="7" t="s">
        <v>44</v>
      </c>
      <c r="L53" s="24"/>
    </row>
    <row r="54" spans="2:12" x14ac:dyDescent="0.3">
      <c r="B54" s="23" t="s">
        <v>126</v>
      </c>
      <c r="C54" s="24" t="s">
        <v>127</v>
      </c>
      <c r="D54" s="7">
        <v>2</v>
      </c>
      <c r="E54" s="7" t="s">
        <v>50</v>
      </c>
      <c r="F54" s="25">
        <f>IF($E54="N/A","",VLOOKUP($E54,AvanceTbl,2,FALSE()))</f>
        <v>0</v>
      </c>
      <c r="G54" s="8"/>
      <c r="H54" s="8"/>
      <c r="I54" s="8"/>
      <c r="J54" s="8"/>
      <c r="K54" s="7" t="s">
        <v>44</v>
      </c>
      <c r="L54" s="24"/>
    </row>
    <row r="55" spans="2:12" x14ac:dyDescent="0.3">
      <c r="B55" s="23" t="s">
        <v>128</v>
      </c>
      <c r="C55" s="24" t="s">
        <v>129</v>
      </c>
      <c r="D55" s="7">
        <v>2</v>
      </c>
      <c r="E55" s="7" t="s">
        <v>50</v>
      </c>
      <c r="F55" s="25">
        <f>IF($E55="N/A","",VLOOKUP($E55,AvanceTbl,2,FALSE()))</f>
        <v>0</v>
      </c>
      <c r="G55" s="8"/>
      <c r="H55" s="8"/>
      <c r="I55" s="8"/>
      <c r="J55" s="8"/>
      <c r="K55" s="7" t="s">
        <v>44</v>
      </c>
      <c r="L55" s="24"/>
    </row>
    <row r="56" spans="2:12" x14ac:dyDescent="0.3">
      <c r="B56" s="23" t="s">
        <v>130</v>
      </c>
      <c r="C56" s="24" t="s">
        <v>131</v>
      </c>
      <c r="D56" s="7">
        <v>1</v>
      </c>
      <c r="E56" s="7" t="s">
        <v>50</v>
      </c>
      <c r="F56" s="25">
        <f>IF($E56="N/A","",VLOOKUP($E56,AvanceTbl,2,FALSE()))</f>
        <v>0</v>
      </c>
      <c r="G56" s="8"/>
      <c r="H56" s="8"/>
      <c r="I56" s="8"/>
      <c r="J56" s="8"/>
      <c r="K56" s="7" t="s">
        <v>132</v>
      </c>
      <c r="L56" s="2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41" priority="2" operator="equal">
      <formula>"Completado"</formula>
    </cfRule>
    <cfRule type="cellIs" dxfId="40" priority="3" operator="equal">
      <formula>"En proceso"</formula>
    </cfRule>
    <cfRule type="cellIs" dxfId="39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{1B20B45B-8847-4125-A617-5E7643574E85}</x14:id>
        </ext>
      </extLst>
    </cfRule>
  </conditionalFormatting>
  <conditionalFormatting sqref="G11:G15">
    <cfRule type="expression" dxfId="38" priority="6">
      <formula>AND($G11&lt;&gt;"",$G11&lt;TODAY(),$E11&lt;&gt;"Completado",$E11&lt;&gt;"N/A")</formula>
    </cfRule>
  </conditionalFormatting>
  <conditionalFormatting sqref="G17:G22">
    <cfRule type="expression" dxfId="37" priority="7">
      <formula>AND($G17&lt;&gt;"",$G17&lt;TODAY(),$E17&lt;&gt;"Completado",$E17&lt;&gt;"N/A")</formula>
    </cfRule>
  </conditionalFormatting>
  <conditionalFormatting sqref="G24:G29">
    <cfRule type="expression" dxfId="36" priority="8">
      <formula>AND($G24&lt;&gt;"",$G24&lt;TODAY(),$E24&lt;&gt;"Completado",$E24&lt;&gt;"N/A")</formula>
    </cfRule>
  </conditionalFormatting>
  <conditionalFormatting sqref="G31:G36">
    <cfRule type="expression" dxfId="35" priority="9">
      <formula>AND($G31&lt;&gt;"",$G31&lt;TODAY(),$E31&lt;&gt;"Completado",$E31&lt;&gt;"N/A")</formula>
    </cfRule>
  </conditionalFormatting>
  <conditionalFormatting sqref="G38:G42">
    <cfRule type="expression" dxfId="34" priority="10">
      <formula>AND($G38&lt;&gt;"",$G38&lt;TODAY(),$E38&lt;&gt;"Completado",$E38&lt;&gt;"N/A")</formula>
    </cfRule>
  </conditionalFormatting>
  <conditionalFormatting sqref="G44:G46">
    <cfRule type="expression" dxfId="33" priority="11">
      <formula>AND($G44&lt;&gt;"",$G44&lt;TODAY(),$E44&lt;&gt;"Completado",$E44&lt;&gt;"N/A")</formula>
    </cfRule>
  </conditionalFormatting>
  <conditionalFormatting sqref="G48:G51">
    <cfRule type="expression" dxfId="32" priority="12">
      <formula>AND($G48&lt;&gt;"",$G48&lt;TODAY(),$E48&lt;&gt;"Completado",$E48&lt;&gt;"N/A")</formula>
    </cfRule>
  </conditionalFormatting>
  <conditionalFormatting sqref="G53:G56">
    <cfRule type="expression" dxfId="31" priority="13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400-000000000000}">
      <formula1>EstadoList</formula1>
      <formula2>0</formula2>
    </dataValidation>
  </dataValidations>
  <pageMargins left="0.25" right="0.25" top="0.75" bottom="0.75" header="0.511811023622047" footer="0.511811023622047"/>
  <pageSetup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20B45B-8847-4125-A617-5E7643574E85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496"/>
    <pageSetUpPr fitToPage="1"/>
  </sheetPr>
  <dimension ref="B2:L56"/>
  <sheetViews>
    <sheetView showGridLines="0" topLeftCell="A4" zoomScale="85" zoomScaleNormal="85" workbookViewId="0">
      <selection activeCell="C5" sqref="C5:E5"/>
    </sheetView>
  </sheetViews>
  <sheetFormatPr baseColWidth="10" defaultColWidth="8.6640625" defaultRowHeight="14.4" x14ac:dyDescent="0.3"/>
  <cols>
    <col min="1" max="1" width="2" customWidth="1"/>
    <col min="2" max="2" width="6" customWidth="1"/>
    <col min="3" max="3" width="48.33203125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25" customHeight="1" x14ac:dyDescent="0.3">
      <c r="B2" s="42" t="s">
        <v>138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12" x14ac:dyDescent="0.3">
      <c r="B4" s="17" t="s">
        <v>22</v>
      </c>
      <c r="C4" s="43" t="s">
        <v>183</v>
      </c>
      <c r="D4" s="43"/>
      <c r="E4" s="43"/>
      <c r="F4" s="17" t="s">
        <v>23</v>
      </c>
      <c r="G4" s="43" t="s">
        <v>14</v>
      </c>
      <c r="H4" s="43"/>
      <c r="I4" s="17" t="s">
        <v>24</v>
      </c>
      <c r="J4" s="43"/>
      <c r="K4" s="43"/>
      <c r="L4" s="43"/>
    </row>
    <row r="5" spans="2:12" x14ac:dyDescent="0.3">
      <c r="B5" s="17" t="s">
        <v>25</v>
      </c>
      <c r="C5" s="43" t="s">
        <v>47</v>
      </c>
      <c r="D5" s="43"/>
      <c r="E5" s="43"/>
      <c r="F5" s="17" t="s">
        <v>26</v>
      </c>
      <c r="G5" s="43"/>
      <c r="H5" s="43"/>
      <c r="I5" s="17" t="s">
        <v>28</v>
      </c>
      <c r="J5" s="45">
        <v>46234</v>
      </c>
      <c r="K5" s="45"/>
      <c r="L5" s="45"/>
    </row>
    <row r="7" spans="2:12" ht="21" customHeight="1" x14ac:dyDescent="0.3">
      <c r="B7" s="40" t="s">
        <v>29</v>
      </c>
      <c r="C7" s="40"/>
      <c r="D7" s="40"/>
      <c r="E7" s="40"/>
      <c r="F7" s="40"/>
      <c r="G7" s="41">
        <f>IFERROR(($D10*$F10+$D16*$F16+$D23*$F23+$D30*$F30+$D37*$F37+$D43*$F43+$D47*$F47+$D52*$F52)/($D10+$D16+$D23+$D30+$D37+$D43+$D47+$D52),0)</f>
        <v>0.4483695652173913</v>
      </c>
      <c r="H7" s="41"/>
      <c r="I7" s="41"/>
      <c r="J7" s="41"/>
      <c r="K7" s="41"/>
      <c r="L7" s="41"/>
    </row>
    <row r="9" spans="2:12" x14ac:dyDescent="0.3"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5</v>
      </c>
      <c r="H9" s="4" t="s">
        <v>35</v>
      </c>
      <c r="I9" s="4" t="s">
        <v>36</v>
      </c>
      <c r="J9" s="4" t="s">
        <v>37</v>
      </c>
      <c r="K9" s="4" t="s">
        <v>38</v>
      </c>
      <c r="L9" s="4" t="s">
        <v>39</v>
      </c>
    </row>
    <row r="10" spans="2:12" x14ac:dyDescent="0.3">
      <c r="B10" s="18"/>
      <c r="C10" s="19" t="s">
        <v>40</v>
      </c>
      <c r="D10" s="20">
        <f>SUMIF($E11:$E15,"&lt;&gt;N/A",$D11:$D15)</f>
        <v>15</v>
      </c>
      <c r="E10" s="18"/>
      <c r="F10" s="21">
        <f t="array" ref="F10">IFERROR(SUMPRODUCT(($E11:$E15&lt;&gt;"N/A")*$D11:$D15,IF($E11:$E15="N/A",0,$F11:$F15))/$D10,0)</f>
        <v>0.6333333333333333</v>
      </c>
      <c r="G10" s="22">
        <v>46237</v>
      </c>
      <c r="H10" s="22">
        <v>46240</v>
      </c>
      <c r="I10" s="18"/>
      <c r="J10" s="18"/>
      <c r="K10" s="18"/>
      <c r="L10" s="18"/>
    </row>
    <row r="11" spans="2:12" ht="26.25" customHeight="1" x14ac:dyDescent="0.3">
      <c r="B11" s="23" t="s">
        <v>41</v>
      </c>
      <c r="C11" s="24" t="s">
        <v>42</v>
      </c>
      <c r="D11" s="7">
        <v>1.5</v>
      </c>
      <c r="E11" s="7" t="s">
        <v>43</v>
      </c>
      <c r="F11" s="25">
        <f>IF($E11="N/A","",VLOOKUP($E11,AvanceTbl,2,FALSE()))</f>
        <v>1</v>
      </c>
      <c r="G11" s="8"/>
      <c r="H11" s="8"/>
      <c r="I11" s="8"/>
      <c r="J11" s="8"/>
      <c r="K11" s="7" t="s">
        <v>44</v>
      </c>
      <c r="L11" s="24"/>
    </row>
    <row r="12" spans="2:12" x14ac:dyDescent="0.3">
      <c r="B12" s="23" t="s">
        <v>45</v>
      </c>
      <c r="C12" s="24" t="s">
        <v>46</v>
      </c>
      <c r="D12" s="7">
        <v>5</v>
      </c>
      <c r="E12" s="7" t="s">
        <v>43</v>
      </c>
      <c r="F12" s="25">
        <f>IF($E12="N/A","",VLOOKUP($E12,AvanceTbl,2,FALSE()))</f>
        <v>1</v>
      </c>
      <c r="G12" s="8"/>
      <c r="H12" s="8"/>
      <c r="I12" s="8"/>
      <c r="J12" s="8"/>
      <c r="K12" s="7" t="s">
        <v>47</v>
      </c>
      <c r="L12" s="24"/>
    </row>
    <row r="13" spans="2:12" x14ac:dyDescent="0.3">
      <c r="B13" s="23" t="s">
        <v>48</v>
      </c>
      <c r="C13" s="24" t="s">
        <v>49</v>
      </c>
      <c r="D13" s="7">
        <v>4</v>
      </c>
      <c r="E13" s="7" t="s">
        <v>72</v>
      </c>
      <c r="F13" s="25">
        <f>IF($E13="N/A","",VLOOKUP($E13,AvanceTbl,2,FALSE()))</f>
        <v>0.5</v>
      </c>
      <c r="G13" s="8"/>
      <c r="H13" s="8"/>
      <c r="I13" s="8"/>
      <c r="J13" s="8"/>
      <c r="K13" s="7" t="s">
        <v>47</v>
      </c>
      <c r="L13" s="24"/>
    </row>
    <row r="14" spans="2:12" x14ac:dyDescent="0.3">
      <c r="B14" s="23" t="s">
        <v>51</v>
      </c>
      <c r="C14" s="24" t="s">
        <v>52</v>
      </c>
      <c r="D14" s="7">
        <v>2</v>
      </c>
      <c r="E14" s="7" t="s">
        <v>72</v>
      </c>
      <c r="F14" s="25">
        <f>IF($E14="N/A","",VLOOKUP($E14,AvanceTbl,2,FALSE()))</f>
        <v>0.5</v>
      </c>
      <c r="G14" s="8"/>
      <c r="H14" s="8"/>
      <c r="I14" s="8"/>
      <c r="J14" s="8"/>
      <c r="K14" s="7" t="s">
        <v>47</v>
      </c>
      <c r="L14" s="24"/>
    </row>
    <row r="15" spans="2:12" x14ac:dyDescent="0.3">
      <c r="B15" s="23" t="s">
        <v>53</v>
      </c>
      <c r="C15" s="24" t="s">
        <v>54</v>
      </c>
      <c r="D15" s="7">
        <v>2.5</v>
      </c>
      <c r="E15" s="7" t="s">
        <v>50</v>
      </c>
      <c r="F15" s="25">
        <f>IF($E15="N/A","",VLOOKUP($E15,AvanceTbl,2,FALSE()))</f>
        <v>0</v>
      </c>
      <c r="G15" s="8"/>
      <c r="H15" s="8"/>
      <c r="I15" s="8"/>
      <c r="J15" s="8"/>
      <c r="K15" s="7" t="s">
        <v>44</v>
      </c>
      <c r="L15" s="24"/>
    </row>
    <row r="16" spans="2:12" x14ac:dyDescent="0.3">
      <c r="B16" s="18"/>
      <c r="C16" s="19" t="s">
        <v>55</v>
      </c>
      <c r="D16" s="20">
        <f>SUMIF($E17:$E22,"&lt;&gt;N/A",$D17:$D22)</f>
        <v>12</v>
      </c>
      <c r="E16" s="18"/>
      <c r="F16" s="21">
        <f t="array" ref="F16">IFERROR(SUMPRODUCT(($E17:$E22&lt;&gt;"N/A")*$D17:$D22,IF($E17:$E22="N/A",0,$F17:$F22))/$D16,0)</f>
        <v>0.79166666666666663</v>
      </c>
      <c r="G16" s="22">
        <v>46259</v>
      </c>
      <c r="H16" s="22">
        <v>46260</v>
      </c>
      <c r="I16" s="18"/>
      <c r="J16" s="18"/>
      <c r="K16" s="1"/>
      <c r="L16" s="18"/>
    </row>
    <row r="17" spans="2:12" ht="26.25" customHeight="1" x14ac:dyDescent="0.3">
      <c r="B17" s="23" t="s">
        <v>56</v>
      </c>
      <c r="C17" s="24" t="s">
        <v>57</v>
      </c>
      <c r="D17" s="7">
        <v>1.5</v>
      </c>
      <c r="E17" s="7" t="s">
        <v>43</v>
      </c>
      <c r="F17" s="25">
        <f t="shared" ref="F17:F22" si="0">IF($E17="N/A","",VLOOKUP($E17,AvanceTbl,2,FALSE()))</f>
        <v>1</v>
      </c>
      <c r="G17" s="8"/>
      <c r="H17" s="8"/>
      <c r="I17" s="8"/>
      <c r="J17" s="8"/>
      <c r="K17" s="7" t="s">
        <v>44</v>
      </c>
      <c r="L17" s="24"/>
    </row>
    <row r="18" spans="2:12" x14ac:dyDescent="0.3">
      <c r="B18" s="23" t="s">
        <v>58</v>
      </c>
      <c r="C18" s="24" t="s">
        <v>59</v>
      </c>
      <c r="D18" s="7">
        <v>3</v>
      </c>
      <c r="E18" s="7" t="s">
        <v>43</v>
      </c>
      <c r="F18" s="25">
        <f t="shared" si="0"/>
        <v>1</v>
      </c>
      <c r="G18" s="8"/>
      <c r="H18" s="8"/>
      <c r="I18" s="8"/>
      <c r="J18" s="8"/>
      <c r="K18" s="7" t="s">
        <v>47</v>
      </c>
      <c r="L18" s="24"/>
    </row>
    <row r="19" spans="2:12" x14ac:dyDescent="0.3">
      <c r="B19" s="23" t="s">
        <v>60</v>
      </c>
      <c r="C19" s="24" t="s">
        <v>61</v>
      </c>
      <c r="D19" s="7">
        <v>3</v>
      </c>
      <c r="E19" s="7" t="s">
        <v>43</v>
      </c>
      <c r="F19" s="25">
        <f t="shared" si="0"/>
        <v>1</v>
      </c>
      <c r="G19" s="8"/>
      <c r="H19" s="8"/>
      <c r="I19" s="8"/>
      <c r="J19" s="8"/>
      <c r="K19" s="7" t="s">
        <v>47</v>
      </c>
      <c r="L19" s="24"/>
    </row>
    <row r="20" spans="2:12" x14ac:dyDescent="0.3">
      <c r="B20" s="23" t="s">
        <v>62</v>
      </c>
      <c r="C20" s="24" t="s">
        <v>63</v>
      </c>
      <c r="D20" s="7">
        <v>2</v>
      </c>
      <c r="E20" s="7" t="s">
        <v>43</v>
      </c>
      <c r="F20" s="25">
        <f t="shared" si="0"/>
        <v>1</v>
      </c>
      <c r="G20" s="8"/>
      <c r="H20" s="8"/>
      <c r="I20" s="8"/>
      <c r="J20" s="8"/>
      <c r="K20" s="7" t="s">
        <v>47</v>
      </c>
      <c r="L20" s="24"/>
    </row>
    <row r="21" spans="2:12" x14ac:dyDescent="0.3">
      <c r="B21" s="23" t="s">
        <v>65</v>
      </c>
      <c r="C21" s="24" t="s">
        <v>66</v>
      </c>
      <c r="D21" s="7">
        <v>1.5</v>
      </c>
      <c r="E21" s="7" t="s">
        <v>50</v>
      </c>
      <c r="F21" s="25">
        <f t="shared" si="0"/>
        <v>0</v>
      </c>
      <c r="G21" s="8"/>
      <c r="H21" s="8"/>
      <c r="I21" s="8"/>
      <c r="J21" s="8"/>
      <c r="K21" s="7" t="s">
        <v>47</v>
      </c>
      <c r="L21" s="24"/>
    </row>
    <row r="22" spans="2:12" x14ac:dyDescent="0.3">
      <c r="B22" s="23" t="s">
        <v>67</v>
      </c>
      <c r="C22" s="24" t="s">
        <v>68</v>
      </c>
      <c r="D22" s="7">
        <v>1</v>
      </c>
      <c r="E22" s="7" t="s">
        <v>50</v>
      </c>
      <c r="F22" s="25">
        <f t="shared" si="0"/>
        <v>0</v>
      </c>
      <c r="G22" s="8"/>
      <c r="H22" s="8"/>
      <c r="I22" s="8"/>
      <c r="J22" s="8"/>
      <c r="K22" s="7" t="s">
        <v>47</v>
      </c>
      <c r="L22" s="24"/>
    </row>
    <row r="23" spans="2:12" x14ac:dyDescent="0.3">
      <c r="B23" s="18"/>
      <c r="C23" s="19" t="s">
        <v>69</v>
      </c>
      <c r="D23" s="20">
        <f>SUMIF($E24:$E29,"&lt;&gt;N/A",$D24:$D29)</f>
        <v>18</v>
      </c>
      <c r="E23" s="18"/>
      <c r="F23" s="21">
        <f t="array" ref="F23">IFERROR(SUMPRODUCT(($E24:$E29&lt;&gt;"N/A")*$D24:$D29,IF($E24:$E29="N/A",0,$F24:$F29))/$D23,0)</f>
        <v>0.69444444444444442</v>
      </c>
      <c r="G23" s="22">
        <v>46259</v>
      </c>
      <c r="H23" s="22">
        <v>46260</v>
      </c>
      <c r="I23" s="18"/>
      <c r="J23" s="18"/>
      <c r="K23" s="1"/>
      <c r="L23" s="18"/>
    </row>
    <row r="24" spans="2:12" x14ac:dyDescent="0.3">
      <c r="B24" s="23" t="s">
        <v>70</v>
      </c>
      <c r="C24" s="24" t="s">
        <v>71</v>
      </c>
      <c r="D24" s="7">
        <v>4</v>
      </c>
      <c r="E24" s="7" t="s">
        <v>43</v>
      </c>
      <c r="F24" s="25">
        <f t="shared" ref="F24:F29" si="1">IF($E24="N/A","",VLOOKUP($E24,AvanceTbl,2,FALSE()))</f>
        <v>1</v>
      </c>
      <c r="G24" s="8"/>
      <c r="H24" s="8"/>
      <c r="I24" s="8"/>
      <c r="J24" s="8"/>
      <c r="K24" s="7" t="s">
        <v>47</v>
      </c>
      <c r="L24" s="24"/>
    </row>
    <row r="25" spans="2:12" x14ac:dyDescent="0.3">
      <c r="B25" s="23" t="s">
        <v>73</v>
      </c>
      <c r="C25" s="24" t="s">
        <v>74</v>
      </c>
      <c r="D25" s="7">
        <v>3</v>
      </c>
      <c r="E25" s="7" t="s">
        <v>43</v>
      </c>
      <c r="F25" s="25">
        <f t="shared" si="1"/>
        <v>1</v>
      </c>
      <c r="G25" s="8"/>
      <c r="H25" s="8"/>
      <c r="I25" s="8"/>
      <c r="J25" s="8"/>
      <c r="K25" s="7" t="s">
        <v>47</v>
      </c>
      <c r="L25" s="24"/>
    </row>
    <row r="26" spans="2:12" x14ac:dyDescent="0.3">
      <c r="B26" s="23" t="s">
        <v>75</v>
      </c>
      <c r="C26" s="24" t="s">
        <v>76</v>
      </c>
      <c r="D26" s="7">
        <v>2</v>
      </c>
      <c r="E26" s="7" t="s">
        <v>43</v>
      </c>
      <c r="F26" s="25">
        <f t="shared" si="1"/>
        <v>1</v>
      </c>
      <c r="G26" s="8"/>
      <c r="H26" s="8"/>
      <c r="I26" s="8"/>
      <c r="J26" s="8"/>
      <c r="K26" s="7" t="s">
        <v>47</v>
      </c>
      <c r="L26" s="24"/>
    </row>
    <row r="27" spans="2:12" x14ac:dyDescent="0.3">
      <c r="B27" s="23" t="s">
        <v>77</v>
      </c>
      <c r="C27" s="24" t="s">
        <v>78</v>
      </c>
      <c r="D27" s="7">
        <v>5</v>
      </c>
      <c r="E27" s="7" t="s">
        <v>72</v>
      </c>
      <c r="F27" s="25">
        <f t="shared" si="1"/>
        <v>0.5</v>
      </c>
      <c r="G27" s="8"/>
      <c r="H27" s="8"/>
      <c r="I27" s="8"/>
      <c r="J27" s="8"/>
      <c r="K27" s="7" t="s">
        <v>47</v>
      </c>
      <c r="L27" s="24"/>
    </row>
    <row r="28" spans="2:12" x14ac:dyDescent="0.3">
      <c r="B28" s="23" t="s">
        <v>79</v>
      </c>
      <c r="C28" s="24" t="s">
        <v>80</v>
      </c>
      <c r="D28" s="7">
        <v>2</v>
      </c>
      <c r="E28" s="7" t="s">
        <v>50</v>
      </c>
      <c r="F28" s="25">
        <f t="shared" si="1"/>
        <v>0</v>
      </c>
      <c r="G28" s="8"/>
      <c r="H28" s="8"/>
      <c r="I28" s="8"/>
      <c r="J28" s="8"/>
      <c r="K28" s="7" t="s">
        <v>47</v>
      </c>
      <c r="L28" s="24"/>
    </row>
    <row r="29" spans="2:12" x14ac:dyDescent="0.3">
      <c r="B29" s="23" t="s">
        <v>81</v>
      </c>
      <c r="C29" s="24" t="s">
        <v>82</v>
      </c>
      <c r="D29" s="7">
        <v>2</v>
      </c>
      <c r="E29" s="7" t="s">
        <v>72</v>
      </c>
      <c r="F29" s="25">
        <f t="shared" si="1"/>
        <v>0.5</v>
      </c>
      <c r="G29" s="8"/>
      <c r="H29" s="8"/>
      <c r="I29" s="8"/>
      <c r="J29" s="8"/>
      <c r="K29" s="7" t="s">
        <v>47</v>
      </c>
      <c r="L29" s="24"/>
    </row>
    <row r="30" spans="2:12" x14ac:dyDescent="0.3">
      <c r="B30" s="18"/>
      <c r="C30" s="19" t="s">
        <v>83</v>
      </c>
      <c r="D30" s="20">
        <f>SUMIF($E31:$E36,"&lt;&gt;N/A",$D31:$D36)</f>
        <v>20</v>
      </c>
      <c r="E30" s="18"/>
      <c r="F30" s="21">
        <f t="array" ref="F30">IFERROR(SUMPRODUCT(($E31:$E36&lt;&gt;"N/A")*$D31:$D36,IF($E31:$E36="N/A",0,$F31:$F36))/$D30,0)</f>
        <v>0.45</v>
      </c>
      <c r="G30" s="22">
        <v>46262</v>
      </c>
      <c r="H30" s="22">
        <v>46266</v>
      </c>
      <c r="I30" s="18"/>
      <c r="J30" s="18"/>
      <c r="K30" s="1"/>
      <c r="L30" s="18"/>
    </row>
    <row r="31" spans="2:12" x14ac:dyDescent="0.3">
      <c r="B31" s="23" t="s">
        <v>84</v>
      </c>
      <c r="C31" s="24" t="s">
        <v>85</v>
      </c>
      <c r="D31" s="7">
        <v>8</v>
      </c>
      <c r="E31" s="7" t="s">
        <v>72</v>
      </c>
      <c r="F31" s="25">
        <f t="shared" ref="F31:F36" si="2">IF($E31="N/A","",VLOOKUP($E31,AvanceTbl,2,FALSE()))</f>
        <v>0.5</v>
      </c>
      <c r="G31" s="8"/>
      <c r="H31" s="8"/>
      <c r="I31" s="8"/>
      <c r="J31" s="8"/>
      <c r="K31" s="7" t="s">
        <v>47</v>
      </c>
      <c r="L31" s="24"/>
    </row>
    <row r="32" spans="2:12" x14ac:dyDescent="0.3">
      <c r="B32" s="23" t="s">
        <v>86</v>
      </c>
      <c r="C32" s="24" t="s">
        <v>87</v>
      </c>
      <c r="D32" s="7">
        <v>8</v>
      </c>
      <c r="E32" s="7" t="s">
        <v>64</v>
      </c>
      <c r="F32" s="25" t="str">
        <f t="shared" si="2"/>
        <v/>
      </c>
      <c r="G32" s="8"/>
      <c r="H32" s="8"/>
      <c r="I32" s="8"/>
      <c r="J32" s="8"/>
      <c r="K32" s="7" t="s">
        <v>47</v>
      </c>
      <c r="L32" s="24"/>
    </row>
    <row r="33" spans="2:12" x14ac:dyDescent="0.3">
      <c r="B33" s="23" t="s">
        <v>88</v>
      </c>
      <c r="C33" s="24" t="s">
        <v>89</v>
      </c>
      <c r="D33" s="7">
        <v>4</v>
      </c>
      <c r="E33" s="7" t="s">
        <v>72</v>
      </c>
      <c r="F33" s="25">
        <f t="shared" si="2"/>
        <v>0.5</v>
      </c>
      <c r="G33" s="8"/>
      <c r="H33" s="8"/>
      <c r="I33" s="8"/>
      <c r="J33" s="8"/>
      <c r="K33" s="7" t="s">
        <v>47</v>
      </c>
      <c r="L33" s="24"/>
    </row>
    <row r="34" spans="2:12" x14ac:dyDescent="0.3">
      <c r="B34" s="23" t="s">
        <v>90</v>
      </c>
      <c r="C34" s="24" t="s">
        <v>91</v>
      </c>
      <c r="D34" s="7">
        <v>4</v>
      </c>
      <c r="E34" s="7" t="s">
        <v>72</v>
      </c>
      <c r="F34" s="25">
        <f t="shared" si="2"/>
        <v>0.5</v>
      </c>
      <c r="G34" s="8"/>
      <c r="H34" s="8"/>
      <c r="I34" s="8"/>
      <c r="J34" s="8"/>
      <c r="K34" s="7" t="s">
        <v>47</v>
      </c>
      <c r="L34" s="24"/>
    </row>
    <row r="35" spans="2:12" x14ac:dyDescent="0.3">
      <c r="B35" s="23" t="s">
        <v>92</v>
      </c>
      <c r="C35" s="24" t="s">
        <v>93</v>
      </c>
      <c r="D35" s="7">
        <v>2</v>
      </c>
      <c r="E35" s="7" t="s">
        <v>72</v>
      </c>
      <c r="F35" s="25">
        <f t="shared" si="2"/>
        <v>0.5</v>
      </c>
      <c r="G35" s="8"/>
      <c r="H35" s="8"/>
      <c r="I35" s="8"/>
      <c r="J35" s="8"/>
      <c r="K35" s="7" t="s">
        <v>47</v>
      </c>
      <c r="L35" s="24"/>
    </row>
    <row r="36" spans="2:12" x14ac:dyDescent="0.3">
      <c r="B36" s="23" t="s">
        <v>94</v>
      </c>
      <c r="C36" s="24" t="s">
        <v>95</v>
      </c>
      <c r="D36" s="7">
        <v>2</v>
      </c>
      <c r="E36" s="7" t="s">
        <v>50</v>
      </c>
      <c r="F36" s="25">
        <f t="shared" si="2"/>
        <v>0</v>
      </c>
      <c r="G36" s="8"/>
      <c r="H36" s="8"/>
      <c r="I36" s="8"/>
      <c r="J36" s="8"/>
      <c r="K36" s="7" t="s">
        <v>47</v>
      </c>
      <c r="L36" s="24"/>
    </row>
    <row r="37" spans="2:12" x14ac:dyDescent="0.3">
      <c r="B37" s="18"/>
      <c r="C37" s="19" t="s">
        <v>96</v>
      </c>
      <c r="D37" s="20">
        <f>SUMIF($E38:$E42,"&lt;&gt;N/A",$D38:$D42)</f>
        <v>5</v>
      </c>
      <c r="E37" s="18"/>
      <c r="F37" s="21">
        <f t="array" ref="F37">IFERROR(SUMPRODUCT(($E38:$E42&lt;&gt;"N/A")*$D38:$D42,IF($E38:$E42="N/A",0,$F38:$F42))/$D37,0)</f>
        <v>0.15</v>
      </c>
      <c r="G37" s="22">
        <v>46267</v>
      </c>
      <c r="H37" s="22">
        <v>46267</v>
      </c>
      <c r="I37" s="18"/>
      <c r="J37" s="18"/>
      <c r="K37" s="1"/>
      <c r="L37" s="18"/>
    </row>
    <row r="38" spans="2:12" x14ac:dyDescent="0.3">
      <c r="B38" s="23" t="s">
        <v>97</v>
      </c>
      <c r="C38" s="24" t="s">
        <v>98</v>
      </c>
      <c r="D38" s="7">
        <v>1.5</v>
      </c>
      <c r="E38" s="7" t="s">
        <v>72</v>
      </c>
      <c r="F38" s="25">
        <f>IF($E38="N/A","",VLOOKUP($E38,AvanceTbl,2,FALSE()))</f>
        <v>0.5</v>
      </c>
      <c r="G38" s="8"/>
      <c r="H38" s="8"/>
      <c r="I38" s="8"/>
      <c r="J38" s="8"/>
      <c r="K38" s="7" t="s">
        <v>47</v>
      </c>
      <c r="L38" s="24"/>
    </row>
    <row r="39" spans="2:12" x14ac:dyDescent="0.3">
      <c r="B39" s="23" t="s">
        <v>99</v>
      </c>
      <c r="C39" s="24" t="s">
        <v>100</v>
      </c>
      <c r="D39" s="7">
        <v>1.5</v>
      </c>
      <c r="E39" s="7" t="s">
        <v>50</v>
      </c>
      <c r="F39" s="25">
        <f>IF($E39="N/A","",VLOOKUP($E39,AvanceTbl,2,FALSE()))</f>
        <v>0</v>
      </c>
      <c r="G39" s="8"/>
      <c r="H39" s="8"/>
      <c r="I39" s="8"/>
      <c r="J39" s="8"/>
      <c r="K39" s="7" t="s">
        <v>47</v>
      </c>
      <c r="L39" s="24"/>
    </row>
    <row r="40" spans="2:12" x14ac:dyDescent="0.3">
      <c r="B40" s="23" t="s">
        <v>101</v>
      </c>
      <c r="C40" s="24" t="s">
        <v>102</v>
      </c>
      <c r="D40" s="7">
        <v>0.5</v>
      </c>
      <c r="E40" s="7" t="s">
        <v>50</v>
      </c>
      <c r="F40" s="25">
        <f>IF($E40="N/A","",VLOOKUP($E40,AvanceTbl,2,FALSE()))</f>
        <v>0</v>
      </c>
      <c r="G40" s="8"/>
      <c r="H40" s="8"/>
      <c r="I40" s="8"/>
      <c r="J40" s="8"/>
      <c r="K40" s="7" t="s">
        <v>47</v>
      </c>
      <c r="L40" s="24"/>
    </row>
    <row r="41" spans="2:12" x14ac:dyDescent="0.3">
      <c r="B41" s="23" t="s">
        <v>103</v>
      </c>
      <c r="C41" s="24" t="s">
        <v>104</v>
      </c>
      <c r="D41" s="7">
        <v>0.5</v>
      </c>
      <c r="E41" s="7" t="s">
        <v>50</v>
      </c>
      <c r="F41" s="25">
        <f>IF($E41="N/A","",VLOOKUP($E41,AvanceTbl,2,FALSE()))</f>
        <v>0</v>
      </c>
      <c r="G41" s="8"/>
      <c r="H41" s="8"/>
      <c r="I41" s="8"/>
      <c r="J41" s="8"/>
      <c r="K41" s="7" t="s">
        <v>47</v>
      </c>
      <c r="L41" s="24"/>
    </row>
    <row r="42" spans="2:12" x14ac:dyDescent="0.3">
      <c r="B42" s="23" t="s">
        <v>105</v>
      </c>
      <c r="C42" s="24" t="s">
        <v>106</v>
      </c>
      <c r="D42" s="7">
        <v>1</v>
      </c>
      <c r="E42" s="7" t="s">
        <v>50</v>
      </c>
      <c r="F42" s="25">
        <f>IF($E42="N/A","",VLOOKUP($E42,AvanceTbl,2,FALSE()))</f>
        <v>0</v>
      </c>
      <c r="G42" s="8"/>
      <c r="H42" s="8"/>
      <c r="I42" s="8"/>
      <c r="J42" s="8"/>
      <c r="K42" s="7" t="s">
        <v>44</v>
      </c>
      <c r="L42" s="24"/>
    </row>
    <row r="43" spans="2:12" x14ac:dyDescent="0.3">
      <c r="B43" s="18"/>
      <c r="C43" s="19" t="s">
        <v>107</v>
      </c>
      <c r="D43" s="20">
        <f>SUMIF($E44:$E46,"&lt;&gt;N/A",$D44:$D46)</f>
        <v>10</v>
      </c>
      <c r="E43" s="18"/>
      <c r="F43" s="21">
        <f t="array" ref="F43">IFERROR(SUMPRODUCT(($E44:$E46&lt;&gt;"N/A")*$D44:$D46,IF($E44:$E46="N/A",0,$F44:$F46))/$D43,0)</f>
        <v>0</v>
      </c>
      <c r="G43" s="22">
        <v>46267</v>
      </c>
      <c r="H43" s="22">
        <v>46267</v>
      </c>
      <c r="I43" s="18"/>
      <c r="J43" s="18"/>
      <c r="K43" s="1"/>
      <c r="L43" s="18"/>
    </row>
    <row r="44" spans="2:12" x14ac:dyDescent="0.3">
      <c r="B44" s="23" t="s">
        <v>108</v>
      </c>
      <c r="C44" s="24" t="s">
        <v>109</v>
      </c>
      <c r="D44" s="7">
        <v>5</v>
      </c>
      <c r="E44" s="7" t="s">
        <v>50</v>
      </c>
      <c r="F44" s="25">
        <f>IF($E44="N/A","",VLOOKUP($E44,AvanceTbl,2,FALSE()))</f>
        <v>0</v>
      </c>
      <c r="G44" s="8"/>
      <c r="H44" s="8"/>
      <c r="I44" s="8"/>
      <c r="J44" s="8"/>
      <c r="K44" s="7" t="s">
        <v>47</v>
      </c>
      <c r="L44" s="24"/>
    </row>
    <row r="45" spans="2:12" x14ac:dyDescent="0.3">
      <c r="B45" s="23" t="s">
        <v>110</v>
      </c>
      <c r="C45" s="24" t="s">
        <v>111</v>
      </c>
      <c r="D45" s="7">
        <v>3</v>
      </c>
      <c r="E45" s="7" t="s">
        <v>50</v>
      </c>
      <c r="F45" s="25">
        <f>IF($E45="N/A","",VLOOKUP($E45,AvanceTbl,2,FALSE()))</f>
        <v>0</v>
      </c>
      <c r="G45" s="8"/>
      <c r="H45" s="8"/>
      <c r="I45" s="8"/>
      <c r="J45" s="8"/>
      <c r="K45" s="7" t="s">
        <v>44</v>
      </c>
      <c r="L45" s="24"/>
    </row>
    <row r="46" spans="2:12" x14ac:dyDescent="0.3">
      <c r="B46" s="23" t="s">
        <v>112</v>
      </c>
      <c r="C46" s="24" t="s">
        <v>113</v>
      </c>
      <c r="D46" s="7">
        <v>2</v>
      </c>
      <c r="E46" s="7" t="s">
        <v>50</v>
      </c>
      <c r="F46" s="25">
        <f>IF($E46="N/A","",VLOOKUP($E46,AvanceTbl,2,FALSE()))</f>
        <v>0</v>
      </c>
      <c r="G46" s="8"/>
      <c r="H46" s="8"/>
      <c r="I46" s="8"/>
      <c r="J46" s="8"/>
      <c r="K46" s="7" t="s">
        <v>44</v>
      </c>
      <c r="L46" s="24"/>
    </row>
    <row r="47" spans="2:12" x14ac:dyDescent="0.3">
      <c r="B47" s="18"/>
      <c r="C47" s="19" t="s">
        <v>114</v>
      </c>
      <c r="D47" s="20">
        <f>SUMIF($E48:$E51,"&lt;&gt;N/A",$D48:$D51)</f>
        <v>5</v>
      </c>
      <c r="E47" s="18"/>
      <c r="F47" s="21">
        <f t="array" ref="F47">IFERROR(SUMPRODUCT(($E48:$E51&lt;&gt;"N/A")*$D48:$D51,IF($E48:$E51="N/A",0,$F48:$F51))/$D47,0)</f>
        <v>0</v>
      </c>
      <c r="G47" s="22">
        <v>46270</v>
      </c>
      <c r="H47" s="22">
        <v>46271</v>
      </c>
      <c r="I47" s="18"/>
      <c r="J47" s="18"/>
      <c r="K47" s="1"/>
      <c r="L47" s="18"/>
    </row>
    <row r="48" spans="2:12" x14ac:dyDescent="0.3">
      <c r="B48" s="23" t="s">
        <v>115</v>
      </c>
      <c r="C48" s="24" t="s">
        <v>116</v>
      </c>
      <c r="D48" s="7">
        <v>1.5</v>
      </c>
      <c r="E48" s="7" t="s">
        <v>50</v>
      </c>
      <c r="F48" s="25">
        <f>IF($E48="N/A","",VLOOKUP($E48,AvanceTbl,2,FALSE()))</f>
        <v>0</v>
      </c>
      <c r="G48" s="8"/>
      <c r="H48" s="8"/>
      <c r="I48" s="8"/>
      <c r="J48" s="8"/>
      <c r="K48" s="7" t="s">
        <v>47</v>
      </c>
      <c r="L48" s="24"/>
    </row>
    <row r="49" spans="2:12" ht="26.25" customHeight="1" x14ac:dyDescent="0.3">
      <c r="B49" s="23" t="s">
        <v>117</v>
      </c>
      <c r="C49" s="24" t="s">
        <v>118</v>
      </c>
      <c r="D49" s="7">
        <v>1</v>
      </c>
      <c r="E49" s="7" t="s">
        <v>50</v>
      </c>
      <c r="F49" s="25">
        <f>IF($E49="N/A","",VLOOKUP($E49,AvanceTbl,2,FALSE()))</f>
        <v>0</v>
      </c>
      <c r="G49" s="8"/>
      <c r="H49" s="8"/>
      <c r="I49" s="8"/>
      <c r="J49" s="8"/>
      <c r="K49" s="7" t="s">
        <v>47</v>
      </c>
      <c r="L49" s="24"/>
    </row>
    <row r="50" spans="2:12" x14ac:dyDescent="0.3">
      <c r="B50" s="23" t="s">
        <v>119</v>
      </c>
      <c r="C50" s="24" t="s">
        <v>120</v>
      </c>
      <c r="D50" s="7">
        <v>1.5</v>
      </c>
      <c r="E50" s="7" t="s">
        <v>50</v>
      </c>
      <c r="F50" s="25">
        <f>IF($E50="N/A","",VLOOKUP($E50,AvanceTbl,2,FALSE()))</f>
        <v>0</v>
      </c>
      <c r="G50" s="8"/>
      <c r="H50" s="8"/>
      <c r="I50" s="8"/>
      <c r="J50" s="8"/>
      <c r="K50" s="7" t="s">
        <v>47</v>
      </c>
      <c r="L50" s="24"/>
    </row>
    <row r="51" spans="2:12" x14ac:dyDescent="0.3">
      <c r="B51" s="23" t="s">
        <v>121</v>
      </c>
      <c r="C51" s="24" t="s">
        <v>122</v>
      </c>
      <c r="D51" s="7">
        <v>1</v>
      </c>
      <c r="E51" s="7" t="s">
        <v>50</v>
      </c>
      <c r="F51" s="25">
        <f>IF($E51="N/A","",VLOOKUP($E51,AvanceTbl,2,FALSE()))</f>
        <v>0</v>
      </c>
      <c r="G51" s="8"/>
      <c r="H51" s="8"/>
      <c r="I51" s="8"/>
      <c r="J51" s="8"/>
      <c r="K51" s="7" t="s">
        <v>44</v>
      </c>
      <c r="L51" s="24"/>
    </row>
    <row r="52" spans="2:12" x14ac:dyDescent="0.3">
      <c r="B52" s="18"/>
      <c r="C52" s="19" t="s">
        <v>123</v>
      </c>
      <c r="D52" s="20">
        <f>SUMIF($E53:$E56,"&lt;&gt;N/A",$D53:$D56)</f>
        <v>7</v>
      </c>
      <c r="E52" s="18"/>
      <c r="F52" s="21">
        <f t="array" ref="F52">IFERROR(SUMPRODUCT(($E53:$E56&lt;&gt;"N/A")*$D53:$D56,IF($E53:$E56="N/A",0,$F53:$F56))/$D52,0)</f>
        <v>0</v>
      </c>
      <c r="G52" s="22">
        <v>46271</v>
      </c>
      <c r="H52" s="22">
        <v>46271</v>
      </c>
      <c r="I52" s="18"/>
      <c r="J52" s="18"/>
      <c r="K52" s="1"/>
      <c r="L52" s="18"/>
    </row>
    <row r="53" spans="2:12" x14ac:dyDescent="0.3">
      <c r="B53" s="23" t="s">
        <v>124</v>
      </c>
      <c r="C53" s="24" t="s">
        <v>125</v>
      </c>
      <c r="D53" s="7">
        <v>2</v>
      </c>
      <c r="E53" s="7" t="s">
        <v>50</v>
      </c>
      <c r="F53" s="25">
        <f>IF($E53="N/A","",VLOOKUP($E53,AvanceTbl,2,FALSE()))</f>
        <v>0</v>
      </c>
      <c r="G53" s="8"/>
      <c r="H53" s="8"/>
      <c r="I53" s="8"/>
      <c r="J53" s="8"/>
      <c r="K53" s="7" t="s">
        <v>44</v>
      </c>
      <c r="L53" s="24"/>
    </row>
    <row r="54" spans="2:12" x14ac:dyDescent="0.3">
      <c r="B54" s="23" t="s">
        <v>126</v>
      </c>
      <c r="C54" s="24" t="s">
        <v>127</v>
      </c>
      <c r="D54" s="7">
        <v>2</v>
      </c>
      <c r="E54" s="7" t="s">
        <v>50</v>
      </c>
      <c r="F54" s="25">
        <f>IF($E54="N/A","",VLOOKUP($E54,AvanceTbl,2,FALSE()))</f>
        <v>0</v>
      </c>
      <c r="G54" s="8"/>
      <c r="H54" s="8"/>
      <c r="I54" s="8"/>
      <c r="J54" s="8"/>
      <c r="K54" s="7" t="s">
        <v>44</v>
      </c>
      <c r="L54" s="24"/>
    </row>
    <row r="55" spans="2:12" x14ac:dyDescent="0.3">
      <c r="B55" s="23" t="s">
        <v>128</v>
      </c>
      <c r="C55" s="24" t="s">
        <v>129</v>
      </c>
      <c r="D55" s="7">
        <v>2</v>
      </c>
      <c r="E55" s="7" t="s">
        <v>50</v>
      </c>
      <c r="F55" s="25">
        <f>IF($E55="N/A","",VLOOKUP($E55,AvanceTbl,2,FALSE()))</f>
        <v>0</v>
      </c>
      <c r="G55" s="8"/>
      <c r="H55" s="8"/>
      <c r="I55" s="8"/>
      <c r="J55" s="8"/>
      <c r="K55" s="7" t="s">
        <v>44</v>
      </c>
      <c r="L55" s="24"/>
    </row>
    <row r="56" spans="2:12" x14ac:dyDescent="0.3">
      <c r="B56" s="23" t="s">
        <v>130</v>
      </c>
      <c r="C56" s="24" t="s">
        <v>131</v>
      </c>
      <c r="D56" s="7">
        <v>1</v>
      </c>
      <c r="E56" s="7" t="s">
        <v>50</v>
      </c>
      <c r="F56" s="25">
        <f>IF($E56="N/A","",VLOOKUP($E56,AvanceTbl,2,FALSE()))</f>
        <v>0</v>
      </c>
      <c r="G56" s="8"/>
      <c r="H56" s="8"/>
      <c r="I56" s="8"/>
      <c r="J56" s="8"/>
      <c r="K56" s="7" t="s">
        <v>132</v>
      </c>
      <c r="L56" s="2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30" priority="2" operator="equal">
      <formula>"Completado"</formula>
    </cfRule>
    <cfRule type="cellIs" dxfId="29" priority="3" operator="equal">
      <formula>"En proceso"</formula>
    </cfRule>
    <cfRule type="cellIs" dxfId="28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{D74BD8F5-D4D0-47E9-A280-30A7A530D8A1}</x14:id>
        </ext>
      </extLst>
    </cfRule>
  </conditionalFormatting>
  <conditionalFormatting sqref="G11:G15">
    <cfRule type="expression" dxfId="27" priority="6">
      <formula>AND($G11&lt;&gt;"",$G11&lt;TODAY(),$E11&lt;&gt;"Completado",$E11&lt;&gt;"N/A")</formula>
    </cfRule>
  </conditionalFormatting>
  <conditionalFormatting sqref="G17:G22">
    <cfRule type="expression" dxfId="26" priority="7">
      <formula>AND($G17&lt;&gt;"",$G17&lt;TODAY(),$E17&lt;&gt;"Completado",$E17&lt;&gt;"N/A")</formula>
    </cfRule>
  </conditionalFormatting>
  <conditionalFormatting sqref="G24:G29">
    <cfRule type="expression" dxfId="25" priority="8">
      <formula>AND($G24&lt;&gt;"",$G24&lt;TODAY(),$E24&lt;&gt;"Completado",$E24&lt;&gt;"N/A")</formula>
    </cfRule>
  </conditionalFormatting>
  <conditionalFormatting sqref="G31:G36">
    <cfRule type="expression" dxfId="24" priority="9">
      <formula>AND($G31&lt;&gt;"",$G31&lt;TODAY(),$E31&lt;&gt;"Completado",$E31&lt;&gt;"N/A")</formula>
    </cfRule>
  </conditionalFormatting>
  <conditionalFormatting sqref="G38:G42">
    <cfRule type="expression" dxfId="23" priority="10">
      <formula>AND($G38&lt;&gt;"",$G38&lt;TODAY(),$E38&lt;&gt;"Completado",$E38&lt;&gt;"N/A")</formula>
    </cfRule>
  </conditionalFormatting>
  <conditionalFormatting sqref="G44:G46">
    <cfRule type="expression" dxfId="22" priority="11">
      <formula>AND($G44&lt;&gt;"",$G44&lt;TODAY(),$E44&lt;&gt;"Completado",$E44&lt;&gt;"N/A")</formula>
    </cfRule>
  </conditionalFormatting>
  <conditionalFormatting sqref="G48:G51">
    <cfRule type="expression" dxfId="21" priority="12">
      <formula>AND($G48&lt;&gt;"",$G48&lt;TODAY(),$E48&lt;&gt;"Completado",$E48&lt;&gt;"N/A")</formula>
    </cfRule>
  </conditionalFormatting>
  <conditionalFormatting sqref="G53:G56">
    <cfRule type="expression" dxfId="20" priority="13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500-000000000000}">
      <formula1>EstadoList</formula1>
      <formula2>0</formula2>
    </dataValidation>
  </dataValidations>
  <pageMargins left="0.25" right="0.25" top="0.75" bottom="0.75" header="0.511811023622047" footer="0.511811023622047"/>
  <pageSetup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4BD8F5-D4D0-47E9-A280-30A7A530D8A1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496"/>
    <pageSetUpPr fitToPage="1"/>
  </sheetPr>
  <dimension ref="B2:L56"/>
  <sheetViews>
    <sheetView showGridLines="0" zoomScale="85" zoomScaleNormal="85" workbookViewId="0">
      <selection activeCell="C17" sqref="C17"/>
    </sheetView>
  </sheetViews>
  <sheetFormatPr baseColWidth="10" defaultColWidth="8.6640625" defaultRowHeight="14.4" x14ac:dyDescent="0.3"/>
  <cols>
    <col min="1" max="1" width="2" customWidth="1"/>
    <col min="2" max="2" width="6" customWidth="1"/>
    <col min="3" max="3" width="50" customWidth="1"/>
    <col min="4" max="4" width="7" customWidth="1"/>
    <col min="5" max="5" width="13" customWidth="1"/>
    <col min="6" max="6" width="9" customWidth="1"/>
    <col min="7" max="10" width="12" customWidth="1"/>
    <col min="11" max="11" width="15" customWidth="1"/>
    <col min="12" max="12" width="30" customWidth="1"/>
  </cols>
  <sheetData>
    <row r="2" spans="2:12" ht="17.25" customHeight="1" x14ac:dyDescent="0.3">
      <c r="B2" s="42" t="s">
        <v>139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12" x14ac:dyDescent="0.3">
      <c r="B4" s="17" t="s">
        <v>22</v>
      </c>
      <c r="C4" s="43" t="s">
        <v>183</v>
      </c>
      <c r="D4" s="43"/>
      <c r="E4" s="43"/>
      <c r="F4" s="17" t="s">
        <v>23</v>
      </c>
      <c r="G4" s="43" t="s">
        <v>15</v>
      </c>
      <c r="H4" s="43"/>
      <c r="I4" s="17" t="s">
        <v>24</v>
      </c>
      <c r="J4" s="43"/>
      <c r="K4" s="43"/>
      <c r="L4" s="43"/>
    </row>
    <row r="5" spans="2:12" x14ac:dyDescent="0.3">
      <c r="B5" s="17" t="s">
        <v>25</v>
      </c>
      <c r="C5" s="43" t="s">
        <v>47</v>
      </c>
      <c r="D5" s="43"/>
      <c r="E5" s="43"/>
      <c r="F5" s="17" t="s">
        <v>26</v>
      </c>
      <c r="G5" s="43"/>
      <c r="H5" s="43"/>
      <c r="I5" s="17" t="s">
        <v>28</v>
      </c>
      <c r="J5" s="45">
        <v>46234</v>
      </c>
      <c r="K5" s="45"/>
      <c r="L5" s="45"/>
    </row>
    <row r="7" spans="2:12" ht="21" customHeight="1" x14ac:dyDescent="0.3">
      <c r="B7" s="40" t="s">
        <v>29</v>
      </c>
      <c r="C7" s="40"/>
      <c r="D7" s="40"/>
      <c r="E7" s="40"/>
      <c r="F7" s="40"/>
      <c r="G7" s="41">
        <f>IFERROR(($D10*$F10+$D16*$F16+$D23*$F23+$D30*$F30+$D37*$F37+$D43*$F43+$D47*$F47+$D52*$F52)/($D10+$D16+$D23+$D30+$D37+$D43+$D47+$D52),0)</f>
        <v>0.4483695652173913</v>
      </c>
      <c r="H7" s="41"/>
      <c r="I7" s="41"/>
      <c r="J7" s="41"/>
      <c r="K7" s="41"/>
      <c r="L7" s="41"/>
    </row>
    <row r="9" spans="2:12" x14ac:dyDescent="0.3"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 t="s">
        <v>5</v>
      </c>
      <c r="H9" s="4" t="s">
        <v>35</v>
      </c>
      <c r="I9" s="4" t="s">
        <v>36</v>
      </c>
      <c r="J9" s="4" t="s">
        <v>37</v>
      </c>
      <c r="K9" s="4" t="s">
        <v>38</v>
      </c>
      <c r="L9" s="4" t="s">
        <v>39</v>
      </c>
    </row>
    <row r="10" spans="2:12" x14ac:dyDescent="0.3">
      <c r="B10" s="18"/>
      <c r="C10" s="19" t="s">
        <v>40</v>
      </c>
      <c r="D10" s="20">
        <f>SUMIF($E11:$E15,"&lt;&gt;N/A",$D11:$D15)</f>
        <v>15</v>
      </c>
      <c r="E10" s="18"/>
      <c r="F10" s="21">
        <f t="array" ref="F10">IFERROR(SUMPRODUCT(($E11:$E15&lt;&gt;"N/A")*$D11:$D15,IF($E11:$E15="N/A",0,$F11:$F15))/$D10,0)</f>
        <v>0.6333333333333333</v>
      </c>
      <c r="G10" s="22">
        <v>46237</v>
      </c>
      <c r="H10" s="22">
        <v>46240</v>
      </c>
      <c r="I10" s="18"/>
      <c r="J10" s="18"/>
      <c r="K10" s="18"/>
      <c r="L10" s="18"/>
    </row>
    <row r="11" spans="2:12" ht="26.25" customHeight="1" x14ac:dyDescent="0.3">
      <c r="B11" s="23" t="s">
        <v>41</v>
      </c>
      <c r="C11" s="24" t="s">
        <v>42</v>
      </c>
      <c r="D11" s="7">
        <v>1.5</v>
      </c>
      <c r="E11" s="7" t="s">
        <v>43</v>
      </c>
      <c r="F11" s="25">
        <f>IF($E11="N/A","",VLOOKUP($E11,AvanceTbl,2,FALSE()))</f>
        <v>1</v>
      </c>
      <c r="G11" s="8"/>
      <c r="H11" s="8"/>
      <c r="I11" s="8"/>
      <c r="J11" s="8"/>
      <c r="K11" s="7" t="s">
        <v>44</v>
      </c>
      <c r="L11" s="24"/>
    </row>
    <row r="12" spans="2:12" x14ac:dyDescent="0.3">
      <c r="B12" s="23" t="s">
        <v>45</v>
      </c>
      <c r="C12" s="24" t="s">
        <v>46</v>
      </c>
      <c r="D12" s="7">
        <v>5</v>
      </c>
      <c r="E12" s="7" t="s">
        <v>43</v>
      </c>
      <c r="F12" s="25">
        <f>IF($E12="N/A","",VLOOKUP($E12,AvanceTbl,2,FALSE()))</f>
        <v>1</v>
      </c>
      <c r="G12" s="8"/>
      <c r="H12" s="8"/>
      <c r="I12" s="8"/>
      <c r="J12" s="8"/>
      <c r="K12" s="7" t="s">
        <v>47</v>
      </c>
      <c r="L12" s="24"/>
    </row>
    <row r="13" spans="2:12" x14ac:dyDescent="0.3">
      <c r="B13" s="23" t="s">
        <v>48</v>
      </c>
      <c r="C13" s="24" t="s">
        <v>49</v>
      </c>
      <c r="D13" s="7">
        <v>4</v>
      </c>
      <c r="E13" s="7" t="s">
        <v>72</v>
      </c>
      <c r="F13" s="25">
        <f>IF($E13="N/A","",VLOOKUP($E13,AvanceTbl,2,FALSE()))</f>
        <v>0.5</v>
      </c>
      <c r="G13" s="8"/>
      <c r="H13" s="8"/>
      <c r="I13" s="8"/>
      <c r="J13" s="8"/>
      <c r="K13" s="7" t="s">
        <v>47</v>
      </c>
      <c r="L13" s="24"/>
    </row>
    <row r="14" spans="2:12" x14ac:dyDescent="0.3">
      <c r="B14" s="23" t="s">
        <v>51</v>
      </c>
      <c r="C14" s="24" t="s">
        <v>52</v>
      </c>
      <c r="D14" s="7">
        <v>2</v>
      </c>
      <c r="E14" s="7" t="s">
        <v>72</v>
      </c>
      <c r="F14" s="25">
        <f>IF($E14="N/A","",VLOOKUP($E14,AvanceTbl,2,FALSE()))</f>
        <v>0.5</v>
      </c>
      <c r="G14" s="8"/>
      <c r="H14" s="8"/>
      <c r="I14" s="8"/>
      <c r="J14" s="8"/>
      <c r="K14" s="7" t="s">
        <v>47</v>
      </c>
      <c r="L14" s="24"/>
    </row>
    <row r="15" spans="2:12" x14ac:dyDescent="0.3">
      <c r="B15" s="23" t="s">
        <v>53</v>
      </c>
      <c r="C15" s="24" t="s">
        <v>54</v>
      </c>
      <c r="D15" s="7">
        <v>2.5</v>
      </c>
      <c r="E15" s="7" t="s">
        <v>50</v>
      </c>
      <c r="F15" s="25">
        <f>IF($E15="N/A","",VLOOKUP($E15,AvanceTbl,2,FALSE()))</f>
        <v>0</v>
      </c>
      <c r="G15" s="8"/>
      <c r="H15" s="8"/>
      <c r="I15" s="8"/>
      <c r="J15" s="8"/>
      <c r="K15" s="7" t="s">
        <v>44</v>
      </c>
      <c r="L15" s="24"/>
    </row>
    <row r="16" spans="2:12" x14ac:dyDescent="0.3">
      <c r="B16" s="18"/>
      <c r="C16" s="19" t="s">
        <v>55</v>
      </c>
      <c r="D16" s="20">
        <f>SUMIF($E17:$E22,"&lt;&gt;N/A",$D17:$D22)</f>
        <v>12</v>
      </c>
      <c r="E16" s="18"/>
      <c r="F16" s="21">
        <f t="array" ref="F16">IFERROR(SUMPRODUCT(($E17:$E22&lt;&gt;"N/A")*$D17:$D22,IF($E17:$E22="N/A",0,$F17:$F22))/$D16,0)</f>
        <v>0.79166666666666663</v>
      </c>
      <c r="G16" s="22">
        <v>46259</v>
      </c>
      <c r="H16" s="22">
        <v>46260</v>
      </c>
      <c r="I16" s="18"/>
      <c r="J16" s="18"/>
      <c r="K16" s="1"/>
      <c r="L16" s="18"/>
    </row>
    <row r="17" spans="2:12" ht="26.25" customHeight="1" x14ac:dyDescent="0.3">
      <c r="B17" s="23" t="s">
        <v>56</v>
      </c>
      <c r="C17" s="24" t="s">
        <v>57</v>
      </c>
      <c r="D17" s="7">
        <v>1.5</v>
      </c>
      <c r="E17" s="7" t="s">
        <v>43</v>
      </c>
      <c r="F17" s="25">
        <f t="shared" ref="F17:F22" si="0">IF($E17="N/A","",VLOOKUP($E17,AvanceTbl,2,FALSE()))</f>
        <v>1</v>
      </c>
      <c r="G17" s="8"/>
      <c r="H17" s="8"/>
      <c r="I17" s="8"/>
      <c r="J17" s="8"/>
      <c r="K17" s="7" t="s">
        <v>44</v>
      </c>
      <c r="L17" s="24"/>
    </row>
    <row r="18" spans="2:12" x14ac:dyDescent="0.3">
      <c r="B18" s="23" t="s">
        <v>58</v>
      </c>
      <c r="C18" s="24" t="s">
        <v>59</v>
      </c>
      <c r="D18" s="7">
        <v>3</v>
      </c>
      <c r="E18" s="7" t="s">
        <v>43</v>
      </c>
      <c r="F18" s="25">
        <f t="shared" si="0"/>
        <v>1</v>
      </c>
      <c r="G18" s="8"/>
      <c r="H18" s="8"/>
      <c r="I18" s="8"/>
      <c r="J18" s="8"/>
      <c r="K18" s="7" t="s">
        <v>47</v>
      </c>
      <c r="L18" s="24"/>
    </row>
    <row r="19" spans="2:12" x14ac:dyDescent="0.3">
      <c r="B19" s="23" t="s">
        <v>60</v>
      </c>
      <c r="C19" s="24" t="s">
        <v>61</v>
      </c>
      <c r="D19" s="7">
        <v>3</v>
      </c>
      <c r="E19" s="7" t="s">
        <v>43</v>
      </c>
      <c r="F19" s="25">
        <f t="shared" si="0"/>
        <v>1</v>
      </c>
      <c r="G19" s="8"/>
      <c r="H19" s="8"/>
      <c r="I19" s="8"/>
      <c r="J19" s="8"/>
      <c r="K19" s="7" t="s">
        <v>47</v>
      </c>
      <c r="L19" s="24"/>
    </row>
    <row r="20" spans="2:12" x14ac:dyDescent="0.3">
      <c r="B20" s="23" t="s">
        <v>62</v>
      </c>
      <c r="C20" s="24" t="s">
        <v>63</v>
      </c>
      <c r="D20" s="7">
        <v>2</v>
      </c>
      <c r="E20" s="7" t="s">
        <v>43</v>
      </c>
      <c r="F20" s="25">
        <f t="shared" si="0"/>
        <v>1</v>
      </c>
      <c r="G20" s="8"/>
      <c r="H20" s="8"/>
      <c r="I20" s="8"/>
      <c r="J20" s="8"/>
      <c r="K20" s="7" t="s">
        <v>47</v>
      </c>
      <c r="L20" s="24"/>
    </row>
    <row r="21" spans="2:12" x14ac:dyDescent="0.3">
      <c r="B21" s="23" t="s">
        <v>65</v>
      </c>
      <c r="C21" s="24" t="s">
        <v>66</v>
      </c>
      <c r="D21" s="7">
        <v>1.5</v>
      </c>
      <c r="E21" s="7" t="s">
        <v>50</v>
      </c>
      <c r="F21" s="25">
        <f t="shared" si="0"/>
        <v>0</v>
      </c>
      <c r="G21" s="8"/>
      <c r="H21" s="8"/>
      <c r="I21" s="8"/>
      <c r="J21" s="8"/>
      <c r="K21" s="7" t="s">
        <v>47</v>
      </c>
      <c r="L21" s="24"/>
    </row>
    <row r="22" spans="2:12" x14ac:dyDescent="0.3">
      <c r="B22" s="23" t="s">
        <v>67</v>
      </c>
      <c r="C22" s="24" t="s">
        <v>68</v>
      </c>
      <c r="D22" s="7">
        <v>1</v>
      </c>
      <c r="E22" s="7" t="s">
        <v>50</v>
      </c>
      <c r="F22" s="25">
        <f t="shared" si="0"/>
        <v>0</v>
      </c>
      <c r="G22" s="8"/>
      <c r="H22" s="8"/>
      <c r="I22" s="8"/>
      <c r="J22" s="8"/>
      <c r="K22" s="7" t="s">
        <v>47</v>
      </c>
      <c r="L22" s="24"/>
    </row>
    <row r="23" spans="2:12" x14ac:dyDescent="0.3">
      <c r="B23" s="18"/>
      <c r="C23" s="19" t="s">
        <v>69</v>
      </c>
      <c r="D23" s="20">
        <f>SUMIF($E24:$E29,"&lt;&gt;N/A",$D24:$D29)</f>
        <v>18</v>
      </c>
      <c r="E23" s="18"/>
      <c r="F23" s="21">
        <f t="array" ref="F23">IFERROR(SUMPRODUCT(($E24:$E29&lt;&gt;"N/A")*$D24:$D29,IF($E24:$E29="N/A",0,$F24:$F29))/$D23,0)</f>
        <v>0.69444444444444442</v>
      </c>
      <c r="G23" s="22">
        <v>46259</v>
      </c>
      <c r="H23" s="22">
        <v>46260</v>
      </c>
      <c r="I23" s="18"/>
      <c r="J23" s="18"/>
      <c r="K23" s="1"/>
      <c r="L23" s="18"/>
    </row>
    <row r="24" spans="2:12" x14ac:dyDescent="0.3">
      <c r="B24" s="23" t="s">
        <v>70</v>
      </c>
      <c r="C24" s="24" t="s">
        <v>71</v>
      </c>
      <c r="D24" s="7">
        <v>4</v>
      </c>
      <c r="E24" s="7" t="s">
        <v>43</v>
      </c>
      <c r="F24" s="25">
        <f t="shared" ref="F24:F29" si="1">IF($E24="N/A","",VLOOKUP($E24,AvanceTbl,2,FALSE()))</f>
        <v>1</v>
      </c>
      <c r="G24" s="8"/>
      <c r="H24" s="8"/>
      <c r="I24" s="8"/>
      <c r="J24" s="8"/>
      <c r="K24" s="7" t="s">
        <v>47</v>
      </c>
      <c r="L24" s="24"/>
    </row>
    <row r="25" spans="2:12" x14ac:dyDescent="0.3">
      <c r="B25" s="23" t="s">
        <v>73</v>
      </c>
      <c r="C25" s="24" t="s">
        <v>74</v>
      </c>
      <c r="D25" s="7">
        <v>3</v>
      </c>
      <c r="E25" s="7" t="s">
        <v>43</v>
      </c>
      <c r="F25" s="25">
        <f t="shared" si="1"/>
        <v>1</v>
      </c>
      <c r="G25" s="8"/>
      <c r="H25" s="8"/>
      <c r="I25" s="8"/>
      <c r="J25" s="8"/>
      <c r="K25" s="7" t="s">
        <v>47</v>
      </c>
      <c r="L25" s="24"/>
    </row>
    <row r="26" spans="2:12" x14ac:dyDescent="0.3">
      <c r="B26" s="23" t="s">
        <v>75</v>
      </c>
      <c r="C26" s="24" t="s">
        <v>76</v>
      </c>
      <c r="D26" s="7">
        <v>2</v>
      </c>
      <c r="E26" s="7" t="s">
        <v>43</v>
      </c>
      <c r="F26" s="25">
        <f t="shared" si="1"/>
        <v>1</v>
      </c>
      <c r="G26" s="8"/>
      <c r="H26" s="8"/>
      <c r="I26" s="8"/>
      <c r="J26" s="8"/>
      <c r="K26" s="7" t="s">
        <v>47</v>
      </c>
      <c r="L26" s="24"/>
    </row>
    <row r="27" spans="2:12" x14ac:dyDescent="0.3">
      <c r="B27" s="23" t="s">
        <v>77</v>
      </c>
      <c r="C27" s="24" t="s">
        <v>78</v>
      </c>
      <c r="D27" s="7">
        <v>5</v>
      </c>
      <c r="E27" s="7" t="s">
        <v>72</v>
      </c>
      <c r="F27" s="25">
        <f t="shared" si="1"/>
        <v>0.5</v>
      </c>
      <c r="G27" s="8"/>
      <c r="H27" s="8"/>
      <c r="I27" s="8"/>
      <c r="J27" s="8"/>
      <c r="K27" s="7" t="s">
        <v>47</v>
      </c>
      <c r="L27" s="24"/>
    </row>
    <row r="28" spans="2:12" x14ac:dyDescent="0.3">
      <c r="B28" s="23" t="s">
        <v>79</v>
      </c>
      <c r="C28" s="24" t="s">
        <v>80</v>
      </c>
      <c r="D28" s="7">
        <v>2</v>
      </c>
      <c r="E28" s="7" t="s">
        <v>50</v>
      </c>
      <c r="F28" s="25">
        <f t="shared" si="1"/>
        <v>0</v>
      </c>
      <c r="G28" s="8"/>
      <c r="H28" s="8"/>
      <c r="I28" s="8"/>
      <c r="J28" s="8"/>
      <c r="K28" s="7" t="s">
        <v>47</v>
      </c>
      <c r="L28" s="24"/>
    </row>
    <row r="29" spans="2:12" x14ac:dyDescent="0.3">
      <c r="B29" s="23" t="s">
        <v>81</v>
      </c>
      <c r="C29" s="24" t="s">
        <v>82</v>
      </c>
      <c r="D29" s="7">
        <v>2</v>
      </c>
      <c r="E29" s="7" t="s">
        <v>72</v>
      </c>
      <c r="F29" s="25">
        <f t="shared" si="1"/>
        <v>0.5</v>
      </c>
      <c r="G29" s="8"/>
      <c r="H29" s="8"/>
      <c r="I29" s="8"/>
      <c r="J29" s="8"/>
      <c r="K29" s="7" t="s">
        <v>47</v>
      </c>
      <c r="L29" s="24"/>
    </row>
    <row r="30" spans="2:12" x14ac:dyDescent="0.3">
      <c r="B30" s="18"/>
      <c r="C30" s="19" t="s">
        <v>83</v>
      </c>
      <c r="D30" s="20">
        <f>SUMIF($E31:$E36,"&lt;&gt;N/A",$D31:$D36)</f>
        <v>20</v>
      </c>
      <c r="E30" s="18"/>
      <c r="F30" s="21">
        <f t="array" ref="F30">IFERROR(SUMPRODUCT(($E31:$E36&lt;&gt;"N/A")*$D31:$D36,IF($E31:$E36="N/A",0,$F31:$F36))/$D30,0)</f>
        <v>0.45</v>
      </c>
      <c r="G30" s="22">
        <v>46262</v>
      </c>
      <c r="H30" s="22">
        <v>46266</v>
      </c>
      <c r="I30" s="18"/>
      <c r="J30" s="18"/>
      <c r="K30" s="1"/>
      <c r="L30" s="18"/>
    </row>
    <row r="31" spans="2:12" x14ac:dyDescent="0.3">
      <c r="B31" s="23" t="s">
        <v>84</v>
      </c>
      <c r="C31" s="24" t="s">
        <v>85</v>
      </c>
      <c r="D31" s="7">
        <v>8</v>
      </c>
      <c r="E31" s="7" t="s">
        <v>72</v>
      </c>
      <c r="F31" s="25">
        <f t="shared" ref="F31:F36" si="2">IF($E31="N/A","",VLOOKUP($E31,AvanceTbl,2,FALSE()))</f>
        <v>0.5</v>
      </c>
      <c r="G31" s="8"/>
      <c r="H31" s="8"/>
      <c r="I31" s="8"/>
      <c r="J31" s="8"/>
      <c r="K31" s="7" t="s">
        <v>47</v>
      </c>
      <c r="L31" s="24"/>
    </row>
    <row r="32" spans="2:12" x14ac:dyDescent="0.3">
      <c r="B32" s="23" t="s">
        <v>86</v>
      </c>
      <c r="C32" s="24" t="s">
        <v>87</v>
      </c>
      <c r="D32" s="7">
        <v>8</v>
      </c>
      <c r="E32" s="7" t="s">
        <v>64</v>
      </c>
      <c r="F32" s="25" t="str">
        <f t="shared" si="2"/>
        <v/>
      </c>
      <c r="G32" s="8"/>
      <c r="H32" s="8"/>
      <c r="I32" s="8"/>
      <c r="J32" s="8"/>
      <c r="K32" s="7" t="s">
        <v>47</v>
      </c>
      <c r="L32" s="24"/>
    </row>
    <row r="33" spans="2:12" x14ac:dyDescent="0.3">
      <c r="B33" s="23" t="s">
        <v>88</v>
      </c>
      <c r="C33" s="24" t="s">
        <v>89</v>
      </c>
      <c r="D33" s="7">
        <v>4</v>
      </c>
      <c r="E33" s="7" t="s">
        <v>72</v>
      </c>
      <c r="F33" s="25">
        <f t="shared" si="2"/>
        <v>0.5</v>
      </c>
      <c r="G33" s="8"/>
      <c r="H33" s="8"/>
      <c r="I33" s="8"/>
      <c r="J33" s="8"/>
      <c r="K33" s="7" t="s">
        <v>47</v>
      </c>
      <c r="L33" s="24"/>
    </row>
    <row r="34" spans="2:12" x14ac:dyDescent="0.3">
      <c r="B34" s="23" t="s">
        <v>90</v>
      </c>
      <c r="C34" s="24" t="s">
        <v>91</v>
      </c>
      <c r="D34" s="7">
        <v>4</v>
      </c>
      <c r="E34" s="7" t="s">
        <v>72</v>
      </c>
      <c r="F34" s="25">
        <f t="shared" si="2"/>
        <v>0.5</v>
      </c>
      <c r="G34" s="8"/>
      <c r="H34" s="8"/>
      <c r="I34" s="8"/>
      <c r="J34" s="8"/>
      <c r="K34" s="7" t="s">
        <v>47</v>
      </c>
      <c r="L34" s="24"/>
    </row>
    <row r="35" spans="2:12" x14ac:dyDescent="0.3">
      <c r="B35" s="23" t="s">
        <v>92</v>
      </c>
      <c r="C35" s="24" t="s">
        <v>93</v>
      </c>
      <c r="D35" s="7">
        <v>2</v>
      </c>
      <c r="E35" s="7" t="s">
        <v>72</v>
      </c>
      <c r="F35" s="25">
        <f t="shared" si="2"/>
        <v>0.5</v>
      </c>
      <c r="G35" s="8"/>
      <c r="H35" s="8"/>
      <c r="I35" s="8"/>
      <c r="J35" s="8"/>
      <c r="K35" s="7" t="s">
        <v>47</v>
      </c>
      <c r="L35" s="24"/>
    </row>
    <row r="36" spans="2:12" x14ac:dyDescent="0.3">
      <c r="B36" s="23" t="s">
        <v>94</v>
      </c>
      <c r="C36" s="24" t="s">
        <v>95</v>
      </c>
      <c r="D36" s="7">
        <v>2</v>
      </c>
      <c r="E36" s="7" t="s">
        <v>50</v>
      </c>
      <c r="F36" s="25">
        <f t="shared" si="2"/>
        <v>0</v>
      </c>
      <c r="G36" s="8"/>
      <c r="H36" s="8"/>
      <c r="I36" s="8"/>
      <c r="J36" s="8"/>
      <c r="K36" s="7" t="s">
        <v>47</v>
      </c>
      <c r="L36" s="24"/>
    </row>
    <row r="37" spans="2:12" x14ac:dyDescent="0.3">
      <c r="B37" s="18"/>
      <c r="C37" s="19" t="s">
        <v>96</v>
      </c>
      <c r="D37" s="20">
        <f>SUMIF($E38:$E42,"&lt;&gt;N/A",$D38:$D42)</f>
        <v>5</v>
      </c>
      <c r="E37" s="18"/>
      <c r="F37" s="21">
        <f t="array" ref="F37">IFERROR(SUMPRODUCT(($E38:$E42&lt;&gt;"N/A")*$D38:$D42,IF($E38:$E42="N/A",0,$F38:$F42))/$D37,0)</f>
        <v>0.15</v>
      </c>
      <c r="G37" s="22">
        <v>46267</v>
      </c>
      <c r="H37" s="22">
        <v>46267</v>
      </c>
      <c r="I37" s="18"/>
      <c r="J37" s="18"/>
      <c r="K37" s="1"/>
      <c r="L37" s="18"/>
    </row>
    <row r="38" spans="2:12" x14ac:dyDescent="0.3">
      <c r="B38" s="23" t="s">
        <v>97</v>
      </c>
      <c r="C38" s="24" t="s">
        <v>98</v>
      </c>
      <c r="D38" s="7">
        <v>1.5</v>
      </c>
      <c r="E38" s="7" t="s">
        <v>72</v>
      </c>
      <c r="F38" s="25">
        <f>IF($E38="N/A","",VLOOKUP($E38,AvanceTbl,2,FALSE()))</f>
        <v>0.5</v>
      </c>
      <c r="G38" s="8"/>
      <c r="H38" s="8"/>
      <c r="I38" s="8"/>
      <c r="J38" s="8"/>
      <c r="K38" s="7" t="s">
        <v>47</v>
      </c>
      <c r="L38" s="24"/>
    </row>
    <row r="39" spans="2:12" x14ac:dyDescent="0.3">
      <c r="B39" s="23" t="s">
        <v>99</v>
      </c>
      <c r="C39" s="24" t="s">
        <v>100</v>
      </c>
      <c r="D39" s="7">
        <v>1.5</v>
      </c>
      <c r="E39" s="7" t="s">
        <v>50</v>
      </c>
      <c r="F39" s="25">
        <f>IF($E39="N/A","",VLOOKUP($E39,AvanceTbl,2,FALSE()))</f>
        <v>0</v>
      </c>
      <c r="G39" s="8"/>
      <c r="H39" s="8"/>
      <c r="I39" s="8"/>
      <c r="J39" s="8"/>
      <c r="K39" s="7" t="s">
        <v>47</v>
      </c>
      <c r="L39" s="24"/>
    </row>
    <row r="40" spans="2:12" x14ac:dyDescent="0.3">
      <c r="B40" s="23" t="s">
        <v>101</v>
      </c>
      <c r="C40" s="24" t="s">
        <v>102</v>
      </c>
      <c r="D40" s="7">
        <v>0.5</v>
      </c>
      <c r="E40" s="7" t="s">
        <v>50</v>
      </c>
      <c r="F40" s="25">
        <f>IF($E40="N/A","",VLOOKUP($E40,AvanceTbl,2,FALSE()))</f>
        <v>0</v>
      </c>
      <c r="G40" s="8"/>
      <c r="H40" s="8"/>
      <c r="I40" s="8"/>
      <c r="J40" s="8"/>
      <c r="K40" s="7" t="s">
        <v>47</v>
      </c>
      <c r="L40" s="24"/>
    </row>
    <row r="41" spans="2:12" x14ac:dyDescent="0.3">
      <c r="B41" s="23" t="s">
        <v>103</v>
      </c>
      <c r="C41" s="24" t="s">
        <v>104</v>
      </c>
      <c r="D41" s="7">
        <v>0.5</v>
      </c>
      <c r="E41" s="7" t="s">
        <v>50</v>
      </c>
      <c r="F41" s="25">
        <f>IF($E41="N/A","",VLOOKUP($E41,AvanceTbl,2,FALSE()))</f>
        <v>0</v>
      </c>
      <c r="G41" s="8"/>
      <c r="H41" s="8"/>
      <c r="I41" s="8"/>
      <c r="J41" s="8"/>
      <c r="K41" s="7" t="s">
        <v>47</v>
      </c>
      <c r="L41" s="24"/>
    </row>
    <row r="42" spans="2:12" x14ac:dyDescent="0.3">
      <c r="B42" s="23" t="s">
        <v>105</v>
      </c>
      <c r="C42" s="24" t="s">
        <v>106</v>
      </c>
      <c r="D42" s="7">
        <v>1</v>
      </c>
      <c r="E42" s="7" t="s">
        <v>50</v>
      </c>
      <c r="F42" s="25">
        <f>IF($E42="N/A","",VLOOKUP($E42,AvanceTbl,2,FALSE()))</f>
        <v>0</v>
      </c>
      <c r="G42" s="8"/>
      <c r="H42" s="8"/>
      <c r="I42" s="8"/>
      <c r="J42" s="8"/>
      <c r="K42" s="7" t="s">
        <v>44</v>
      </c>
      <c r="L42" s="24"/>
    </row>
    <row r="43" spans="2:12" x14ac:dyDescent="0.3">
      <c r="B43" s="18"/>
      <c r="C43" s="19" t="s">
        <v>107</v>
      </c>
      <c r="D43" s="20">
        <f>SUMIF($E44:$E46,"&lt;&gt;N/A",$D44:$D46)</f>
        <v>10</v>
      </c>
      <c r="E43" s="18"/>
      <c r="F43" s="21">
        <f t="array" ref="F43">IFERROR(SUMPRODUCT(($E44:$E46&lt;&gt;"N/A")*$D44:$D46,IF($E44:$E46="N/A",0,$F44:$F46))/$D43,0)</f>
        <v>0</v>
      </c>
      <c r="G43" s="22">
        <v>46267</v>
      </c>
      <c r="H43" s="22">
        <v>46267</v>
      </c>
      <c r="I43" s="18"/>
      <c r="J43" s="18"/>
      <c r="K43" s="1"/>
      <c r="L43" s="18"/>
    </row>
    <row r="44" spans="2:12" x14ac:dyDescent="0.3">
      <c r="B44" s="23" t="s">
        <v>108</v>
      </c>
      <c r="C44" s="24" t="s">
        <v>109</v>
      </c>
      <c r="D44" s="7">
        <v>5</v>
      </c>
      <c r="E44" s="7" t="s">
        <v>50</v>
      </c>
      <c r="F44" s="25">
        <f>IF($E44="N/A","",VLOOKUP($E44,AvanceTbl,2,FALSE()))</f>
        <v>0</v>
      </c>
      <c r="G44" s="8"/>
      <c r="H44" s="8"/>
      <c r="I44" s="8"/>
      <c r="J44" s="8"/>
      <c r="K44" s="7" t="s">
        <v>47</v>
      </c>
      <c r="L44" s="24"/>
    </row>
    <row r="45" spans="2:12" x14ac:dyDescent="0.3">
      <c r="B45" s="23" t="s">
        <v>110</v>
      </c>
      <c r="C45" s="24" t="s">
        <v>111</v>
      </c>
      <c r="D45" s="7">
        <v>3</v>
      </c>
      <c r="E45" s="7" t="s">
        <v>50</v>
      </c>
      <c r="F45" s="25">
        <f>IF($E45="N/A","",VLOOKUP($E45,AvanceTbl,2,FALSE()))</f>
        <v>0</v>
      </c>
      <c r="G45" s="8"/>
      <c r="H45" s="8"/>
      <c r="I45" s="8"/>
      <c r="J45" s="8"/>
      <c r="K45" s="7" t="s">
        <v>44</v>
      </c>
      <c r="L45" s="24"/>
    </row>
    <row r="46" spans="2:12" x14ac:dyDescent="0.3">
      <c r="B46" s="23" t="s">
        <v>112</v>
      </c>
      <c r="C46" s="24" t="s">
        <v>113</v>
      </c>
      <c r="D46" s="7">
        <v>2</v>
      </c>
      <c r="E46" s="7" t="s">
        <v>50</v>
      </c>
      <c r="F46" s="25">
        <f>IF($E46="N/A","",VLOOKUP($E46,AvanceTbl,2,FALSE()))</f>
        <v>0</v>
      </c>
      <c r="G46" s="8"/>
      <c r="H46" s="8"/>
      <c r="I46" s="8"/>
      <c r="J46" s="8"/>
      <c r="K46" s="7" t="s">
        <v>44</v>
      </c>
      <c r="L46" s="24"/>
    </row>
    <row r="47" spans="2:12" x14ac:dyDescent="0.3">
      <c r="B47" s="18"/>
      <c r="C47" s="19" t="s">
        <v>114</v>
      </c>
      <c r="D47" s="20">
        <f>SUMIF($E48:$E51,"&lt;&gt;N/A",$D48:$D51)</f>
        <v>5</v>
      </c>
      <c r="E47" s="18"/>
      <c r="F47" s="21">
        <f t="array" ref="F47">IFERROR(SUMPRODUCT(($E48:$E51&lt;&gt;"N/A")*$D48:$D51,IF($E48:$E51="N/A",0,$F48:$F51))/$D47,0)</f>
        <v>0</v>
      </c>
      <c r="G47" s="22">
        <v>46270</v>
      </c>
      <c r="H47" s="22">
        <v>46271</v>
      </c>
      <c r="I47" s="18"/>
      <c r="J47" s="18"/>
      <c r="K47" s="1"/>
      <c r="L47" s="18"/>
    </row>
    <row r="48" spans="2:12" x14ac:dyDescent="0.3">
      <c r="B48" s="23" t="s">
        <v>115</v>
      </c>
      <c r="C48" s="24" t="s">
        <v>116</v>
      </c>
      <c r="D48" s="7">
        <v>1.5</v>
      </c>
      <c r="E48" s="7" t="s">
        <v>50</v>
      </c>
      <c r="F48" s="25">
        <f>IF($E48="N/A","",VLOOKUP($E48,AvanceTbl,2,FALSE()))</f>
        <v>0</v>
      </c>
      <c r="G48" s="8"/>
      <c r="H48" s="8"/>
      <c r="I48" s="8"/>
      <c r="J48" s="8"/>
      <c r="K48" s="7" t="s">
        <v>47</v>
      </c>
      <c r="L48" s="24"/>
    </row>
    <row r="49" spans="2:12" ht="26.25" customHeight="1" x14ac:dyDescent="0.3">
      <c r="B49" s="23" t="s">
        <v>117</v>
      </c>
      <c r="C49" s="24" t="s">
        <v>118</v>
      </c>
      <c r="D49" s="7">
        <v>1</v>
      </c>
      <c r="E49" s="7" t="s">
        <v>50</v>
      </c>
      <c r="F49" s="25">
        <f>IF($E49="N/A","",VLOOKUP($E49,AvanceTbl,2,FALSE()))</f>
        <v>0</v>
      </c>
      <c r="G49" s="8"/>
      <c r="H49" s="8"/>
      <c r="I49" s="8"/>
      <c r="J49" s="8"/>
      <c r="K49" s="7" t="s">
        <v>47</v>
      </c>
      <c r="L49" s="24"/>
    </row>
    <row r="50" spans="2:12" x14ac:dyDescent="0.3">
      <c r="B50" s="23" t="s">
        <v>119</v>
      </c>
      <c r="C50" s="24" t="s">
        <v>120</v>
      </c>
      <c r="D50" s="7">
        <v>1.5</v>
      </c>
      <c r="E50" s="7" t="s">
        <v>50</v>
      </c>
      <c r="F50" s="25">
        <f>IF($E50="N/A","",VLOOKUP($E50,AvanceTbl,2,FALSE()))</f>
        <v>0</v>
      </c>
      <c r="G50" s="8"/>
      <c r="H50" s="8"/>
      <c r="I50" s="8"/>
      <c r="J50" s="8"/>
      <c r="K50" s="7" t="s">
        <v>47</v>
      </c>
      <c r="L50" s="24"/>
    </row>
    <row r="51" spans="2:12" x14ac:dyDescent="0.3">
      <c r="B51" s="23" t="s">
        <v>121</v>
      </c>
      <c r="C51" s="24" t="s">
        <v>122</v>
      </c>
      <c r="D51" s="7">
        <v>1</v>
      </c>
      <c r="E51" s="7" t="s">
        <v>50</v>
      </c>
      <c r="F51" s="25">
        <f>IF($E51="N/A","",VLOOKUP($E51,AvanceTbl,2,FALSE()))</f>
        <v>0</v>
      </c>
      <c r="G51" s="8"/>
      <c r="H51" s="8"/>
      <c r="I51" s="8"/>
      <c r="J51" s="8"/>
      <c r="K51" s="7" t="s">
        <v>44</v>
      </c>
      <c r="L51" s="24"/>
    </row>
    <row r="52" spans="2:12" x14ac:dyDescent="0.3">
      <c r="B52" s="18"/>
      <c r="C52" s="19" t="s">
        <v>123</v>
      </c>
      <c r="D52" s="20">
        <f>SUMIF($E53:$E56,"&lt;&gt;N/A",$D53:$D56)</f>
        <v>7</v>
      </c>
      <c r="E52" s="18"/>
      <c r="F52" s="21">
        <f t="array" ref="F52">IFERROR(SUMPRODUCT(($E53:$E56&lt;&gt;"N/A")*$D53:$D56,IF($E53:$E56="N/A",0,$F53:$F56))/$D52,0)</f>
        <v>0</v>
      </c>
      <c r="G52" s="22">
        <v>46271</v>
      </c>
      <c r="H52" s="22">
        <v>46271</v>
      </c>
      <c r="I52" s="18"/>
      <c r="J52" s="18"/>
      <c r="K52" s="1"/>
      <c r="L52" s="18"/>
    </row>
    <row r="53" spans="2:12" x14ac:dyDescent="0.3">
      <c r="B53" s="23" t="s">
        <v>124</v>
      </c>
      <c r="C53" s="24" t="s">
        <v>125</v>
      </c>
      <c r="D53" s="7">
        <v>2</v>
      </c>
      <c r="E53" s="7" t="s">
        <v>50</v>
      </c>
      <c r="F53" s="25">
        <f>IF($E53="N/A","",VLOOKUP($E53,AvanceTbl,2,FALSE()))</f>
        <v>0</v>
      </c>
      <c r="G53" s="8"/>
      <c r="H53" s="8"/>
      <c r="I53" s="8"/>
      <c r="J53" s="8"/>
      <c r="K53" s="7" t="s">
        <v>44</v>
      </c>
      <c r="L53" s="24"/>
    </row>
    <row r="54" spans="2:12" x14ac:dyDescent="0.3">
      <c r="B54" s="23" t="s">
        <v>126</v>
      </c>
      <c r="C54" s="24" t="s">
        <v>127</v>
      </c>
      <c r="D54" s="7">
        <v>2</v>
      </c>
      <c r="E54" s="7" t="s">
        <v>50</v>
      </c>
      <c r="F54" s="25">
        <f>IF($E54="N/A","",VLOOKUP($E54,AvanceTbl,2,FALSE()))</f>
        <v>0</v>
      </c>
      <c r="G54" s="8"/>
      <c r="H54" s="8"/>
      <c r="I54" s="8"/>
      <c r="J54" s="8"/>
      <c r="K54" s="7" t="s">
        <v>44</v>
      </c>
      <c r="L54" s="24"/>
    </row>
    <row r="55" spans="2:12" x14ac:dyDescent="0.3">
      <c r="B55" s="23" t="s">
        <v>128</v>
      </c>
      <c r="C55" s="24" t="s">
        <v>129</v>
      </c>
      <c r="D55" s="7">
        <v>2</v>
      </c>
      <c r="E55" s="7" t="s">
        <v>50</v>
      </c>
      <c r="F55" s="25">
        <f>IF($E55="N/A","",VLOOKUP($E55,AvanceTbl,2,FALSE()))</f>
        <v>0</v>
      </c>
      <c r="G55" s="8"/>
      <c r="H55" s="8"/>
      <c r="I55" s="8"/>
      <c r="J55" s="8"/>
      <c r="K55" s="7" t="s">
        <v>44</v>
      </c>
      <c r="L55" s="24"/>
    </row>
    <row r="56" spans="2:12" x14ac:dyDescent="0.3">
      <c r="B56" s="23" t="s">
        <v>130</v>
      </c>
      <c r="C56" s="24" t="s">
        <v>131</v>
      </c>
      <c r="D56" s="7">
        <v>1</v>
      </c>
      <c r="E56" s="7" t="s">
        <v>50</v>
      </c>
      <c r="F56" s="25">
        <f>IF($E56="N/A","",VLOOKUP($E56,AvanceTbl,2,FALSE()))</f>
        <v>0</v>
      </c>
      <c r="G56" s="8"/>
      <c r="H56" s="8"/>
      <c r="I56" s="8"/>
      <c r="J56" s="8"/>
      <c r="K56" s="7" t="s">
        <v>132</v>
      </c>
      <c r="L56" s="24"/>
    </row>
  </sheetData>
  <mergeCells count="9">
    <mergeCell ref="B7:F7"/>
    <mergeCell ref="G7:L7"/>
    <mergeCell ref="B2:L2"/>
    <mergeCell ref="C4:E4"/>
    <mergeCell ref="G4:H4"/>
    <mergeCell ref="J4:L4"/>
    <mergeCell ref="C5:E5"/>
    <mergeCell ref="G5:H5"/>
    <mergeCell ref="J5:L5"/>
  </mergeCells>
  <conditionalFormatting sqref="E10:E56">
    <cfRule type="cellIs" dxfId="19" priority="2" operator="equal">
      <formula>"Completado"</formula>
    </cfRule>
    <cfRule type="cellIs" dxfId="18" priority="3" operator="equal">
      <formula>"En proceso"</formula>
    </cfRule>
    <cfRule type="cellIs" dxfId="17" priority="4" operator="equal">
      <formula>"Pendiente"</formula>
    </cfRule>
  </conditionalFormatting>
  <conditionalFormatting sqref="F10:F56">
    <cfRule type="dataBar" priority="5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{64D0B63A-174C-43AB-9B39-5766B5C4BC76}</x14:id>
        </ext>
      </extLst>
    </cfRule>
  </conditionalFormatting>
  <conditionalFormatting sqref="G11:G15">
    <cfRule type="expression" dxfId="16" priority="6">
      <formula>AND($G11&lt;&gt;"",$G11&lt;TODAY(),$E11&lt;&gt;"Completado",$E11&lt;&gt;"N/A")</formula>
    </cfRule>
  </conditionalFormatting>
  <conditionalFormatting sqref="G17:G22">
    <cfRule type="expression" dxfId="15" priority="7">
      <formula>AND($G17&lt;&gt;"",$G17&lt;TODAY(),$E17&lt;&gt;"Completado",$E17&lt;&gt;"N/A")</formula>
    </cfRule>
  </conditionalFormatting>
  <conditionalFormatting sqref="G24:G29">
    <cfRule type="expression" dxfId="14" priority="8">
      <formula>AND($G24&lt;&gt;"",$G24&lt;TODAY(),$E24&lt;&gt;"Completado",$E24&lt;&gt;"N/A")</formula>
    </cfRule>
  </conditionalFormatting>
  <conditionalFormatting sqref="G31:G36">
    <cfRule type="expression" dxfId="13" priority="9">
      <formula>AND($G31&lt;&gt;"",$G31&lt;TODAY(),$E31&lt;&gt;"Completado",$E31&lt;&gt;"N/A")</formula>
    </cfRule>
  </conditionalFormatting>
  <conditionalFormatting sqref="G38:G42">
    <cfRule type="expression" dxfId="12" priority="10">
      <formula>AND($G38&lt;&gt;"",$G38&lt;TODAY(),$E38&lt;&gt;"Completado",$E38&lt;&gt;"N/A")</formula>
    </cfRule>
  </conditionalFormatting>
  <conditionalFormatting sqref="G44:G46">
    <cfRule type="expression" dxfId="11" priority="11">
      <formula>AND($G44&lt;&gt;"",$G44&lt;TODAY(),$E44&lt;&gt;"Completado",$E44&lt;&gt;"N/A")</formula>
    </cfRule>
  </conditionalFormatting>
  <conditionalFormatting sqref="G48:G51">
    <cfRule type="expression" dxfId="10" priority="12">
      <formula>AND($G48&lt;&gt;"",$G48&lt;TODAY(),$E48&lt;&gt;"Completado",$E48&lt;&gt;"N/A")</formula>
    </cfRule>
  </conditionalFormatting>
  <conditionalFormatting sqref="G53:G56">
    <cfRule type="expression" dxfId="9" priority="13">
      <formula>AND($G53&lt;&gt;"",$G53&lt;TODAY(),$E53&lt;&gt;"Completado",$E53&lt;&gt;"N/A")</formula>
    </cfRule>
  </conditionalFormatting>
  <dataValidations count="1">
    <dataValidation type="list" allowBlank="1" sqref="E11:E15 E17:E22 E24:E29 E31:E36 E38:E42 E44:E46 E48:E51 E53:E56" xr:uid="{00000000-0002-0000-0600-000000000000}">
      <formula1>EstadoList</formula1>
      <formula2>0</formula2>
    </dataValidation>
  </dataValidations>
  <pageMargins left="0.25" right="0.25" top="0.75" bottom="0.75" header="0.511811023622047" footer="0.511811023622047"/>
  <pageSetup fitToHeight="0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4D0B63A-174C-43AB-9B39-5766B5C4BC76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C384"/>
            </x14:dataBar>
          </x14:cfRule>
          <xm:sqref>F10:F56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C0006"/>
  </sheetPr>
  <dimension ref="A1:M3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J3" sqref="J3"/>
    </sheetView>
  </sheetViews>
  <sheetFormatPr baseColWidth="10" defaultColWidth="8.6640625" defaultRowHeight="14.4" x14ac:dyDescent="0.3"/>
  <cols>
    <col min="1" max="1" width="8" customWidth="1"/>
    <col min="2" max="2" width="14" customWidth="1"/>
    <col min="3" max="3" width="11" customWidth="1"/>
    <col min="4" max="4" width="22" customWidth="1"/>
    <col min="5" max="5" width="38" customWidth="1"/>
    <col min="6" max="6" width="12" customWidth="1"/>
    <col min="7" max="7" width="34" customWidth="1"/>
    <col min="8" max="8" width="13" customWidth="1"/>
    <col min="9" max="9" width="16" customWidth="1"/>
    <col min="10" max="10" width="15" customWidth="1"/>
    <col min="11" max="11" width="14" customWidth="1"/>
    <col min="12" max="12" width="18" customWidth="1"/>
    <col min="13" max="13" width="12" customWidth="1"/>
  </cols>
  <sheetData>
    <row r="1" spans="1:13" ht="17.25" customHeight="1" thickBot="1" x14ac:dyDescent="0.35">
      <c r="A1" s="42" t="s">
        <v>140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26.25" customHeight="1" thickBot="1" x14ac:dyDescent="0.35">
      <c r="A2" s="4" t="s">
        <v>141</v>
      </c>
      <c r="B2" s="4" t="s">
        <v>142</v>
      </c>
      <c r="C2" s="4" t="s">
        <v>2</v>
      </c>
      <c r="D2" s="4" t="s">
        <v>143</v>
      </c>
      <c r="E2" s="4" t="s">
        <v>144</v>
      </c>
      <c r="F2" s="4" t="s">
        <v>145</v>
      </c>
      <c r="G2" s="4" t="s">
        <v>146</v>
      </c>
      <c r="H2" s="4" t="s">
        <v>33</v>
      </c>
      <c r="I2" s="4" t="s">
        <v>38</v>
      </c>
      <c r="J2" s="4" t="s">
        <v>147</v>
      </c>
      <c r="K2" s="4" t="s">
        <v>148</v>
      </c>
      <c r="L2" s="4" t="s">
        <v>149</v>
      </c>
      <c r="M2" s="4" t="s">
        <v>150</v>
      </c>
    </row>
    <row r="3" spans="1:13" x14ac:dyDescent="0.3">
      <c r="A3" s="51" t="str">
        <f>IF(D3="","","NC-"&amp;TEXT(ROW()-2,"000"))</f>
        <v/>
      </c>
      <c r="B3" s="27"/>
      <c r="C3" s="23"/>
      <c r="D3" s="28"/>
      <c r="E3" s="28"/>
      <c r="F3" s="23"/>
      <c r="G3" s="28"/>
      <c r="H3" s="23"/>
      <c r="I3" s="29"/>
      <c r="J3" s="27"/>
      <c r="K3" s="27"/>
      <c r="L3" s="28"/>
      <c r="M3" s="30" t="str">
        <f t="shared" ref="M3:M32" ca="1" si="0">IF(B3="","",IF(K3="",TODAY()-B3,K3-B3))</f>
        <v/>
      </c>
    </row>
    <row r="4" spans="1:13" x14ac:dyDescent="0.3">
      <c r="A4" s="51" t="str">
        <f t="shared" ref="A3:A32" si="1">IF(D4="","","NC-"&amp;TEXT(ROW()-4,"000"))</f>
        <v/>
      </c>
      <c r="B4" s="27"/>
      <c r="C4" s="23"/>
      <c r="D4" s="28"/>
      <c r="E4" s="28"/>
      <c r="F4" s="23"/>
      <c r="G4" s="28"/>
      <c r="H4" s="23"/>
      <c r="I4" s="29"/>
      <c r="J4" s="27"/>
      <c r="K4" s="27"/>
      <c r="L4" s="28"/>
      <c r="M4" s="30" t="str">
        <f t="shared" ca="1" si="0"/>
        <v/>
      </c>
    </row>
    <row r="5" spans="1:13" x14ac:dyDescent="0.3">
      <c r="A5" s="51" t="str">
        <f t="shared" si="1"/>
        <v/>
      </c>
      <c r="B5" s="27"/>
      <c r="C5" s="23"/>
      <c r="D5" s="28"/>
      <c r="E5" s="28"/>
      <c r="F5" s="23"/>
      <c r="G5" s="28"/>
      <c r="H5" s="23"/>
      <c r="I5" s="29"/>
      <c r="J5" s="27"/>
      <c r="K5" s="27"/>
      <c r="L5" s="28"/>
      <c r="M5" s="30" t="str">
        <f t="shared" ca="1" si="0"/>
        <v/>
      </c>
    </row>
    <row r="6" spans="1:13" x14ac:dyDescent="0.3">
      <c r="A6" s="51" t="str">
        <f t="shared" si="1"/>
        <v/>
      </c>
      <c r="B6" s="27"/>
      <c r="C6" s="23"/>
      <c r="D6" s="28"/>
      <c r="E6" s="28"/>
      <c r="F6" s="23"/>
      <c r="G6" s="28"/>
      <c r="H6" s="23"/>
      <c r="I6" s="29"/>
      <c r="J6" s="27"/>
      <c r="K6" s="27"/>
      <c r="L6" s="28"/>
      <c r="M6" s="30" t="str">
        <f t="shared" ca="1" si="0"/>
        <v/>
      </c>
    </row>
    <row r="7" spans="1:13" x14ac:dyDescent="0.3">
      <c r="A7" s="51" t="str">
        <f t="shared" si="1"/>
        <v/>
      </c>
      <c r="B7" s="27"/>
      <c r="C7" s="23"/>
      <c r="D7" s="28"/>
      <c r="E7" s="28"/>
      <c r="F7" s="23"/>
      <c r="G7" s="28"/>
      <c r="H7" s="23"/>
      <c r="I7" s="29"/>
      <c r="J7" s="27"/>
      <c r="K7" s="27"/>
      <c r="L7" s="28"/>
      <c r="M7" s="30" t="str">
        <f t="shared" ca="1" si="0"/>
        <v/>
      </c>
    </row>
    <row r="8" spans="1:13" x14ac:dyDescent="0.3">
      <c r="A8" s="51" t="str">
        <f t="shared" si="1"/>
        <v/>
      </c>
      <c r="B8" s="27"/>
      <c r="C8" s="23"/>
      <c r="D8" s="28"/>
      <c r="E8" s="28"/>
      <c r="F8" s="23"/>
      <c r="G8" s="28"/>
      <c r="H8" s="23"/>
      <c r="I8" s="29"/>
      <c r="J8" s="27"/>
      <c r="K8" s="27"/>
      <c r="L8" s="28"/>
      <c r="M8" s="30" t="str">
        <f t="shared" ca="1" si="0"/>
        <v/>
      </c>
    </row>
    <row r="9" spans="1:13" x14ac:dyDescent="0.3">
      <c r="A9" s="51" t="str">
        <f t="shared" si="1"/>
        <v/>
      </c>
      <c r="B9" s="27"/>
      <c r="C9" s="23"/>
      <c r="D9" s="28"/>
      <c r="E9" s="28"/>
      <c r="F9" s="23"/>
      <c r="G9" s="28"/>
      <c r="H9" s="23"/>
      <c r="I9" s="29"/>
      <c r="J9" s="27"/>
      <c r="K9" s="27"/>
      <c r="L9" s="28"/>
      <c r="M9" s="30" t="str">
        <f t="shared" ca="1" si="0"/>
        <v/>
      </c>
    </row>
    <row r="10" spans="1:13" x14ac:dyDescent="0.3">
      <c r="A10" s="51" t="str">
        <f t="shared" si="1"/>
        <v/>
      </c>
      <c r="B10" s="27"/>
      <c r="C10" s="23"/>
      <c r="D10" s="28"/>
      <c r="E10" s="28"/>
      <c r="F10" s="23"/>
      <c r="G10" s="28"/>
      <c r="H10" s="23"/>
      <c r="I10" s="29"/>
      <c r="J10" s="27"/>
      <c r="K10" s="27"/>
      <c r="L10" s="28"/>
      <c r="M10" s="30" t="str">
        <f t="shared" ca="1" si="0"/>
        <v/>
      </c>
    </row>
    <row r="11" spans="1:13" x14ac:dyDescent="0.3">
      <c r="A11" s="51" t="str">
        <f t="shared" si="1"/>
        <v/>
      </c>
      <c r="B11" s="27"/>
      <c r="C11" s="23"/>
      <c r="D11" s="28"/>
      <c r="E11" s="28"/>
      <c r="F11" s="23"/>
      <c r="G11" s="28"/>
      <c r="H11" s="23"/>
      <c r="I11" s="29"/>
      <c r="J11" s="27"/>
      <c r="K11" s="27"/>
      <c r="L11" s="28"/>
      <c r="M11" s="30" t="str">
        <f t="shared" ca="1" si="0"/>
        <v/>
      </c>
    </row>
    <row r="12" spans="1:13" x14ac:dyDescent="0.3">
      <c r="A12" s="51" t="str">
        <f t="shared" si="1"/>
        <v/>
      </c>
      <c r="B12" s="27"/>
      <c r="C12" s="23"/>
      <c r="D12" s="28"/>
      <c r="E12" s="28"/>
      <c r="F12" s="23"/>
      <c r="G12" s="28"/>
      <c r="H12" s="23"/>
      <c r="I12" s="29"/>
      <c r="J12" s="27"/>
      <c r="K12" s="27"/>
      <c r="L12" s="28"/>
      <c r="M12" s="30" t="str">
        <f t="shared" ca="1" si="0"/>
        <v/>
      </c>
    </row>
    <row r="13" spans="1:13" x14ac:dyDescent="0.3">
      <c r="A13" s="51" t="str">
        <f t="shared" si="1"/>
        <v/>
      </c>
      <c r="B13" s="27"/>
      <c r="C13" s="23"/>
      <c r="D13" s="28"/>
      <c r="E13" s="28"/>
      <c r="F13" s="23"/>
      <c r="G13" s="28"/>
      <c r="H13" s="23"/>
      <c r="I13" s="29"/>
      <c r="J13" s="27"/>
      <c r="K13" s="27"/>
      <c r="L13" s="28"/>
      <c r="M13" s="30" t="str">
        <f t="shared" ca="1" si="0"/>
        <v/>
      </c>
    </row>
    <row r="14" spans="1:13" x14ac:dyDescent="0.3">
      <c r="A14" s="51" t="str">
        <f t="shared" si="1"/>
        <v/>
      </c>
      <c r="B14" s="27"/>
      <c r="C14" s="23"/>
      <c r="D14" s="28"/>
      <c r="E14" s="28"/>
      <c r="F14" s="23"/>
      <c r="G14" s="28"/>
      <c r="H14" s="23"/>
      <c r="I14" s="29"/>
      <c r="J14" s="27"/>
      <c r="K14" s="27"/>
      <c r="L14" s="28"/>
      <c r="M14" s="30" t="str">
        <f t="shared" ca="1" si="0"/>
        <v/>
      </c>
    </row>
    <row r="15" spans="1:13" x14ac:dyDescent="0.3">
      <c r="A15" s="51" t="str">
        <f t="shared" si="1"/>
        <v/>
      </c>
      <c r="B15" s="27"/>
      <c r="C15" s="23"/>
      <c r="D15" s="28"/>
      <c r="E15" s="28"/>
      <c r="F15" s="23"/>
      <c r="G15" s="28"/>
      <c r="H15" s="23"/>
      <c r="I15" s="29"/>
      <c r="J15" s="27"/>
      <c r="K15" s="27"/>
      <c r="L15" s="28"/>
      <c r="M15" s="30" t="str">
        <f t="shared" ca="1" si="0"/>
        <v/>
      </c>
    </row>
    <row r="16" spans="1:13" x14ac:dyDescent="0.3">
      <c r="A16" s="51" t="str">
        <f t="shared" si="1"/>
        <v/>
      </c>
      <c r="B16" s="27"/>
      <c r="C16" s="23"/>
      <c r="D16" s="28"/>
      <c r="E16" s="28"/>
      <c r="F16" s="23"/>
      <c r="G16" s="28"/>
      <c r="H16" s="23"/>
      <c r="I16" s="29"/>
      <c r="J16" s="27"/>
      <c r="K16" s="27"/>
      <c r="L16" s="28"/>
      <c r="M16" s="30" t="str">
        <f t="shared" ca="1" si="0"/>
        <v/>
      </c>
    </row>
    <row r="17" spans="1:13" x14ac:dyDescent="0.3">
      <c r="A17" s="51" t="str">
        <f t="shared" si="1"/>
        <v/>
      </c>
      <c r="B17" s="27"/>
      <c r="C17" s="23"/>
      <c r="D17" s="28"/>
      <c r="E17" s="28"/>
      <c r="F17" s="23"/>
      <c r="G17" s="28"/>
      <c r="H17" s="23"/>
      <c r="I17" s="29"/>
      <c r="J17" s="27"/>
      <c r="K17" s="27"/>
      <c r="L17" s="28"/>
      <c r="M17" s="30" t="str">
        <f t="shared" ca="1" si="0"/>
        <v/>
      </c>
    </row>
    <row r="18" spans="1:13" x14ac:dyDescent="0.3">
      <c r="A18" s="51" t="str">
        <f t="shared" si="1"/>
        <v/>
      </c>
      <c r="B18" s="27"/>
      <c r="C18" s="23"/>
      <c r="D18" s="28"/>
      <c r="E18" s="28"/>
      <c r="F18" s="23"/>
      <c r="G18" s="28"/>
      <c r="H18" s="23"/>
      <c r="I18" s="29"/>
      <c r="J18" s="27"/>
      <c r="K18" s="27"/>
      <c r="L18" s="28"/>
      <c r="M18" s="30" t="str">
        <f t="shared" ca="1" si="0"/>
        <v/>
      </c>
    </row>
    <row r="19" spans="1:13" x14ac:dyDescent="0.3">
      <c r="A19" s="51" t="str">
        <f t="shared" si="1"/>
        <v/>
      </c>
      <c r="B19" s="27"/>
      <c r="C19" s="23"/>
      <c r="D19" s="28"/>
      <c r="E19" s="28"/>
      <c r="F19" s="23"/>
      <c r="G19" s="28"/>
      <c r="H19" s="23"/>
      <c r="I19" s="29"/>
      <c r="J19" s="27"/>
      <c r="K19" s="27"/>
      <c r="L19" s="28"/>
      <c r="M19" s="30" t="str">
        <f t="shared" ca="1" si="0"/>
        <v/>
      </c>
    </row>
    <row r="20" spans="1:13" x14ac:dyDescent="0.3">
      <c r="A20" s="51" t="str">
        <f t="shared" si="1"/>
        <v/>
      </c>
      <c r="B20" s="27"/>
      <c r="C20" s="23"/>
      <c r="D20" s="28"/>
      <c r="E20" s="28"/>
      <c r="F20" s="23"/>
      <c r="G20" s="28"/>
      <c r="H20" s="23"/>
      <c r="I20" s="29"/>
      <c r="J20" s="27"/>
      <c r="K20" s="27"/>
      <c r="L20" s="28"/>
      <c r="M20" s="30" t="str">
        <f t="shared" ca="1" si="0"/>
        <v/>
      </c>
    </row>
    <row r="21" spans="1:13" x14ac:dyDescent="0.3">
      <c r="A21" s="51" t="str">
        <f t="shared" si="1"/>
        <v/>
      </c>
      <c r="B21" s="27"/>
      <c r="C21" s="23"/>
      <c r="D21" s="28"/>
      <c r="E21" s="28"/>
      <c r="F21" s="23"/>
      <c r="G21" s="28"/>
      <c r="H21" s="23"/>
      <c r="I21" s="29"/>
      <c r="J21" s="27"/>
      <c r="K21" s="27"/>
      <c r="L21" s="28"/>
      <c r="M21" s="30" t="str">
        <f t="shared" ca="1" si="0"/>
        <v/>
      </c>
    </row>
    <row r="22" spans="1:13" x14ac:dyDescent="0.3">
      <c r="A22" s="51" t="str">
        <f t="shared" si="1"/>
        <v/>
      </c>
      <c r="B22" s="27"/>
      <c r="C22" s="23"/>
      <c r="D22" s="28"/>
      <c r="E22" s="28"/>
      <c r="F22" s="23"/>
      <c r="G22" s="28"/>
      <c r="H22" s="23"/>
      <c r="I22" s="29"/>
      <c r="J22" s="27"/>
      <c r="K22" s="27"/>
      <c r="L22" s="28"/>
      <c r="M22" s="30" t="str">
        <f t="shared" ca="1" si="0"/>
        <v/>
      </c>
    </row>
    <row r="23" spans="1:13" x14ac:dyDescent="0.3">
      <c r="A23" s="51" t="str">
        <f t="shared" si="1"/>
        <v/>
      </c>
      <c r="B23" s="27"/>
      <c r="C23" s="23"/>
      <c r="D23" s="28"/>
      <c r="E23" s="28"/>
      <c r="F23" s="23"/>
      <c r="G23" s="28"/>
      <c r="H23" s="23"/>
      <c r="I23" s="29"/>
      <c r="J23" s="27"/>
      <c r="K23" s="27"/>
      <c r="L23" s="28"/>
      <c r="M23" s="30" t="str">
        <f t="shared" ca="1" si="0"/>
        <v/>
      </c>
    </row>
    <row r="24" spans="1:13" x14ac:dyDescent="0.3">
      <c r="A24" s="51" t="str">
        <f t="shared" si="1"/>
        <v/>
      </c>
      <c r="B24" s="27"/>
      <c r="C24" s="23"/>
      <c r="D24" s="28"/>
      <c r="E24" s="28"/>
      <c r="F24" s="23"/>
      <c r="G24" s="28"/>
      <c r="H24" s="23"/>
      <c r="I24" s="29"/>
      <c r="J24" s="27"/>
      <c r="K24" s="27"/>
      <c r="L24" s="28"/>
      <c r="M24" s="30" t="str">
        <f t="shared" ca="1" si="0"/>
        <v/>
      </c>
    </row>
    <row r="25" spans="1:13" x14ac:dyDescent="0.3">
      <c r="A25" s="51" t="str">
        <f t="shared" si="1"/>
        <v/>
      </c>
      <c r="B25" s="27"/>
      <c r="C25" s="23"/>
      <c r="D25" s="28"/>
      <c r="E25" s="28"/>
      <c r="F25" s="23"/>
      <c r="G25" s="28"/>
      <c r="H25" s="23"/>
      <c r="I25" s="29"/>
      <c r="J25" s="27"/>
      <c r="K25" s="27"/>
      <c r="L25" s="28"/>
      <c r="M25" s="30" t="str">
        <f t="shared" ca="1" si="0"/>
        <v/>
      </c>
    </row>
    <row r="26" spans="1:13" x14ac:dyDescent="0.3">
      <c r="A26" s="51" t="str">
        <f t="shared" si="1"/>
        <v/>
      </c>
      <c r="B26" s="27"/>
      <c r="C26" s="23"/>
      <c r="D26" s="28"/>
      <c r="E26" s="28"/>
      <c r="F26" s="23"/>
      <c r="G26" s="28"/>
      <c r="H26" s="23"/>
      <c r="I26" s="29"/>
      <c r="J26" s="27"/>
      <c r="K26" s="27"/>
      <c r="L26" s="28"/>
      <c r="M26" s="30" t="str">
        <f t="shared" ca="1" si="0"/>
        <v/>
      </c>
    </row>
    <row r="27" spans="1:13" x14ac:dyDescent="0.3">
      <c r="A27" s="51" t="str">
        <f t="shared" si="1"/>
        <v/>
      </c>
      <c r="B27" s="27"/>
      <c r="C27" s="23"/>
      <c r="D27" s="28"/>
      <c r="E27" s="28"/>
      <c r="F27" s="23"/>
      <c r="G27" s="28"/>
      <c r="H27" s="23"/>
      <c r="I27" s="29"/>
      <c r="J27" s="27"/>
      <c r="K27" s="27"/>
      <c r="L27" s="28"/>
      <c r="M27" s="30" t="str">
        <f t="shared" ca="1" si="0"/>
        <v/>
      </c>
    </row>
    <row r="28" spans="1:13" x14ac:dyDescent="0.3">
      <c r="A28" s="51" t="str">
        <f t="shared" si="1"/>
        <v/>
      </c>
      <c r="B28" s="27"/>
      <c r="C28" s="23"/>
      <c r="D28" s="28"/>
      <c r="E28" s="28"/>
      <c r="F28" s="23"/>
      <c r="G28" s="28"/>
      <c r="H28" s="23"/>
      <c r="I28" s="29"/>
      <c r="J28" s="27"/>
      <c r="K28" s="27"/>
      <c r="L28" s="28"/>
      <c r="M28" s="30" t="str">
        <f t="shared" ca="1" si="0"/>
        <v/>
      </c>
    </row>
    <row r="29" spans="1:13" x14ac:dyDescent="0.3">
      <c r="A29" s="51" t="str">
        <f t="shared" si="1"/>
        <v/>
      </c>
      <c r="B29" s="27"/>
      <c r="C29" s="23"/>
      <c r="D29" s="28"/>
      <c r="E29" s="28"/>
      <c r="F29" s="23"/>
      <c r="G29" s="28"/>
      <c r="H29" s="23"/>
      <c r="I29" s="29"/>
      <c r="J29" s="27"/>
      <c r="K29" s="27"/>
      <c r="L29" s="28"/>
      <c r="M29" s="30" t="str">
        <f t="shared" ca="1" si="0"/>
        <v/>
      </c>
    </row>
    <row r="30" spans="1:13" x14ac:dyDescent="0.3">
      <c r="A30" s="51" t="str">
        <f t="shared" si="1"/>
        <v/>
      </c>
      <c r="B30" s="27"/>
      <c r="C30" s="23"/>
      <c r="D30" s="28"/>
      <c r="E30" s="28"/>
      <c r="F30" s="23"/>
      <c r="G30" s="28"/>
      <c r="H30" s="23"/>
      <c r="I30" s="29"/>
      <c r="J30" s="27"/>
      <c r="K30" s="27"/>
      <c r="L30" s="28"/>
      <c r="M30" s="30" t="str">
        <f t="shared" ca="1" si="0"/>
        <v/>
      </c>
    </row>
    <row r="31" spans="1:13" x14ac:dyDescent="0.3">
      <c r="A31" s="51" t="str">
        <f t="shared" si="1"/>
        <v/>
      </c>
      <c r="B31" s="27"/>
      <c r="C31" s="23"/>
      <c r="D31" s="28"/>
      <c r="E31" s="28"/>
      <c r="F31" s="23"/>
      <c r="G31" s="28"/>
      <c r="H31" s="23"/>
      <c r="I31" s="29"/>
      <c r="J31" s="27"/>
      <c r="K31" s="27"/>
      <c r="L31" s="28"/>
      <c r="M31" s="30" t="str">
        <f t="shared" ca="1" si="0"/>
        <v/>
      </c>
    </row>
    <row r="32" spans="1:13" x14ac:dyDescent="0.3">
      <c r="A32" s="51" t="str">
        <f t="shared" si="1"/>
        <v/>
      </c>
      <c r="B32" s="27"/>
      <c r="C32" s="23"/>
      <c r="D32" s="28"/>
      <c r="E32" s="28"/>
      <c r="F32" s="23"/>
      <c r="G32" s="28"/>
      <c r="H32" s="23"/>
      <c r="I32" s="29"/>
      <c r="J32" s="27"/>
      <c r="K32" s="27"/>
      <c r="L32" s="28"/>
      <c r="M32" s="30" t="str">
        <f t="shared" ca="1" si="0"/>
        <v/>
      </c>
    </row>
  </sheetData>
  <mergeCells count="1">
    <mergeCell ref="A1:M1"/>
  </mergeCells>
  <conditionalFormatting sqref="F3:F32">
    <cfRule type="cellIs" dxfId="8" priority="2" operator="equal">
      <formula>"Crítica"</formula>
    </cfRule>
    <cfRule type="cellIs" dxfId="7" priority="3" operator="equal">
      <formula>"Mayor"</formula>
    </cfRule>
  </conditionalFormatting>
  <conditionalFormatting sqref="H3:H32">
    <cfRule type="cellIs" dxfId="6" priority="4" operator="equal">
      <formula>"Cerrada"</formula>
    </cfRule>
    <cfRule type="cellIs" dxfId="5" priority="5" operator="equal">
      <formula>"Abierta"</formula>
    </cfRule>
  </conditionalFormatting>
  <conditionalFormatting sqref="J3:J32">
    <cfRule type="expression" dxfId="4" priority="6">
      <formula>AND($J3&lt;&gt;"",$J3&lt;TODAY(),$H3&lt;&gt;"Cerrada")</formula>
    </cfRule>
  </conditionalFormatting>
  <dataValidations count="3">
    <dataValidation type="list" allowBlank="1" sqref="C3:C32" xr:uid="{00000000-0002-0000-0700-000000000000}">
      <formula1>TableroList</formula1>
      <formula2>0</formula2>
    </dataValidation>
    <dataValidation type="list" allowBlank="1" sqref="F3:F32" xr:uid="{00000000-0002-0000-0700-000001000000}">
      <formula1>SeveridadList</formula1>
      <formula2>0</formula2>
    </dataValidation>
    <dataValidation type="list" allowBlank="1" sqref="H3:H32" xr:uid="{00000000-0002-0000-0700-000002000000}">
      <formula1>EstadoNCList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5496"/>
  </sheetPr>
  <dimension ref="B2:M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5" sqref="F25"/>
    </sheetView>
  </sheetViews>
  <sheetFormatPr baseColWidth="10" defaultColWidth="8.6640625" defaultRowHeight="14.4" x14ac:dyDescent="0.3"/>
  <cols>
    <col min="1" max="1" width="2" customWidth="1"/>
    <col min="2" max="2" width="10" customWidth="1"/>
    <col min="3" max="3" width="13" customWidth="1"/>
    <col min="4" max="4" width="11" customWidth="1"/>
    <col min="5" max="5" width="30.33203125" customWidth="1"/>
    <col min="6" max="6" width="32.33203125" customWidth="1"/>
    <col min="7" max="7" width="26" customWidth="1"/>
    <col min="8" max="8" width="13" customWidth="1"/>
    <col min="9" max="10" width="16" customWidth="1"/>
    <col min="11" max="11" width="14" customWidth="1"/>
    <col min="12" max="12" width="28" customWidth="1"/>
  </cols>
  <sheetData>
    <row r="2" spans="2:13" ht="17.25" customHeight="1" x14ac:dyDescent="0.3">
      <c r="B2" s="42" t="s">
        <v>151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4" spans="2:13" ht="27" customHeight="1" x14ac:dyDescent="0.3">
      <c r="B4" s="4" t="s">
        <v>152</v>
      </c>
      <c r="C4" s="4" t="s">
        <v>153</v>
      </c>
      <c r="D4" s="4" t="s">
        <v>2</v>
      </c>
      <c r="E4" s="4" t="s">
        <v>154</v>
      </c>
      <c r="F4" s="4" t="s">
        <v>155</v>
      </c>
      <c r="G4" s="4" t="s">
        <v>156</v>
      </c>
      <c r="H4" s="4" t="s">
        <v>33</v>
      </c>
      <c r="I4" s="4" t="s">
        <v>157</v>
      </c>
      <c r="J4" s="4" t="s">
        <v>158</v>
      </c>
      <c r="K4" s="4" t="s">
        <v>159</v>
      </c>
      <c r="L4" s="4" t="s">
        <v>39</v>
      </c>
    </row>
    <row r="5" spans="2:13" x14ac:dyDescent="0.3">
      <c r="B5" s="23" t="str">
        <f t="shared" ref="B5:B29" si="0">IF(E5="","","CC-"&amp;TEXT(ROW()-4,"000"))</f>
        <v>CC-001</v>
      </c>
      <c r="C5" s="27">
        <v>46223</v>
      </c>
      <c r="D5" s="23" t="s">
        <v>14</v>
      </c>
      <c r="E5" s="28" t="s">
        <v>160</v>
      </c>
      <c r="F5" s="28" t="s">
        <v>161</v>
      </c>
      <c r="G5" s="31" t="s">
        <v>162</v>
      </c>
      <c r="H5" s="23" t="s">
        <v>176</v>
      </c>
      <c r="I5" s="29" t="s">
        <v>164</v>
      </c>
      <c r="K5" s="36">
        <v>46230</v>
      </c>
      <c r="L5" s="46" t="s">
        <v>165</v>
      </c>
      <c r="M5" s="28"/>
    </row>
    <row r="6" spans="2:13" x14ac:dyDescent="0.3">
      <c r="B6" s="23" t="str">
        <f t="shared" si="0"/>
        <v>CC-002</v>
      </c>
      <c r="C6" s="27">
        <v>46223</v>
      </c>
      <c r="D6" s="23" t="s">
        <v>15</v>
      </c>
      <c r="E6" s="28" t="s">
        <v>160</v>
      </c>
      <c r="F6" s="28" t="s">
        <v>161</v>
      </c>
      <c r="G6" s="31" t="s">
        <v>162</v>
      </c>
      <c r="H6" s="23" t="s">
        <v>176</v>
      </c>
      <c r="I6" s="29" t="s">
        <v>164</v>
      </c>
      <c r="K6" s="36">
        <v>46230</v>
      </c>
      <c r="L6" s="46"/>
      <c r="M6" s="28"/>
    </row>
    <row r="7" spans="2:13" x14ac:dyDescent="0.3">
      <c r="B7" s="23" t="str">
        <f t="shared" si="0"/>
        <v/>
      </c>
      <c r="C7" s="27"/>
      <c r="D7" s="23"/>
      <c r="E7" s="28"/>
      <c r="F7" s="28"/>
      <c r="G7" s="28"/>
      <c r="H7" s="23"/>
      <c r="I7" s="29"/>
      <c r="J7" s="29"/>
      <c r="K7" s="27"/>
      <c r="L7" s="28"/>
    </row>
    <row r="8" spans="2:13" x14ac:dyDescent="0.3">
      <c r="B8" s="23" t="str">
        <f t="shared" si="0"/>
        <v/>
      </c>
      <c r="C8" s="27"/>
      <c r="D8" s="23"/>
      <c r="E8" s="28"/>
      <c r="F8" s="28"/>
      <c r="G8" s="28"/>
      <c r="H8" s="23"/>
      <c r="I8" s="29"/>
      <c r="J8" s="29"/>
      <c r="K8" s="27"/>
      <c r="L8" s="28"/>
    </row>
    <row r="9" spans="2:13" x14ac:dyDescent="0.3">
      <c r="B9" s="23" t="str">
        <f t="shared" si="0"/>
        <v/>
      </c>
      <c r="C9" s="27"/>
      <c r="D9" s="23"/>
      <c r="E9" s="28"/>
      <c r="F9" s="28"/>
      <c r="G9" s="28"/>
      <c r="H9" s="23"/>
      <c r="I9" s="29"/>
      <c r="J9" s="29"/>
      <c r="K9" s="27"/>
      <c r="L9" s="28"/>
    </row>
    <row r="10" spans="2:13" x14ac:dyDescent="0.3">
      <c r="B10" s="23" t="str">
        <f t="shared" si="0"/>
        <v/>
      </c>
      <c r="C10" s="27"/>
      <c r="D10" s="23"/>
      <c r="E10" s="28"/>
      <c r="F10" s="28"/>
      <c r="G10" s="28"/>
      <c r="H10" s="23"/>
      <c r="I10" s="29"/>
      <c r="J10" s="29"/>
      <c r="K10" s="27"/>
      <c r="L10" s="28"/>
    </row>
    <row r="11" spans="2:13" x14ac:dyDescent="0.3">
      <c r="B11" s="23" t="str">
        <f t="shared" si="0"/>
        <v/>
      </c>
      <c r="C11" s="27"/>
      <c r="D11" s="23"/>
      <c r="E11" s="28"/>
      <c r="F11" s="28"/>
      <c r="G11" s="28"/>
      <c r="H11" s="23"/>
      <c r="I11" s="29"/>
      <c r="J11" s="29"/>
      <c r="K11" s="27"/>
      <c r="L11" s="28"/>
    </row>
    <row r="12" spans="2:13" x14ac:dyDescent="0.3">
      <c r="B12" s="23" t="str">
        <f t="shared" si="0"/>
        <v/>
      </c>
      <c r="C12" s="27"/>
      <c r="D12" s="23"/>
      <c r="E12" s="28"/>
      <c r="F12" s="28"/>
      <c r="G12" s="28"/>
      <c r="H12" s="23"/>
      <c r="I12" s="29"/>
      <c r="J12" s="29"/>
      <c r="K12" s="27"/>
      <c r="L12" s="28"/>
    </row>
    <row r="13" spans="2:13" x14ac:dyDescent="0.3">
      <c r="B13" s="23" t="str">
        <f t="shared" si="0"/>
        <v/>
      </c>
      <c r="C13" s="27"/>
      <c r="D13" s="23"/>
      <c r="E13" s="28"/>
      <c r="F13" s="28"/>
      <c r="G13" s="28"/>
      <c r="H13" s="23"/>
      <c r="I13" s="29"/>
      <c r="J13" s="29"/>
      <c r="K13" s="27"/>
      <c r="L13" s="28"/>
    </row>
    <row r="14" spans="2:13" x14ac:dyDescent="0.3">
      <c r="B14" s="23" t="str">
        <f t="shared" si="0"/>
        <v/>
      </c>
      <c r="C14" s="27"/>
      <c r="D14" s="23"/>
      <c r="E14" s="28"/>
      <c r="F14" s="28"/>
      <c r="G14" s="28"/>
      <c r="H14" s="23"/>
      <c r="I14" s="29"/>
      <c r="J14" s="29"/>
      <c r="K14" s="27"/>
      <c r="L14" s="28"/>
    </row>
    <row r="15" spans="2:13" x14ac:dyDescent="0.3">
      <c r="B15" s="23" t="str">
        <f t="shared" si="0"/>
        <v/>
      </c>
      <c r="C15" s="27"/>
      <c r="D15" s="23"/>
      <c r="E15" s="28"/>
      <c r="F15" s="28"/>
      <c r="G15" s="28"/>
      <c r="H15" s="23"/>
      <c r="I15" s="29"/>
      <c r="J15" s="29"/>
      <c r="K15" s="27"/>
      <c r="L15" s="28"/>
    </row>
    <row r="16" spans="2:13" x14ac:dyDescent="0.3">
      <c r="B16" s="23" t="str">
        <f t="shared" si="0"/>
        <v/>
      </c>
      <c r="C16" s="27"/>
      <c r="D16" s="23"/>
      <c r="E16" s="28"/>
      <c r="F16" s="28"/>
      <c r="G16" s="28"/>
      <c r="H16" s="23"/>
      <c r="I16" s="29"/>
      <c r="J16" s="29"/>
      <c r="K16" s="27"/>
      <c r="L16" s="28"/>
    </row>
    <row r="17" spans="2:12" x14ac:dyDescent="0.3">
      <c r="B17" s="23" t="str">
        <f t="shared" si="0"/>
        <v/>
      </c>
      <c r="C17" s="27"/>
      <c r="D17" s="23"/>
      <c r="E17" s="28"/>
      <c r="F17" s="28"/>
      <c r="G17" s="28"/>
      <c r="H17" s="23"/>
      <c r="I17" s="29"/>
      <c r="J17" s="29"/>
      <c r="K17" s="27"/>
      <c r="L17" s="28"/>
    </row>
    <row r="18" spans="2:12" x14ac:dyDescent="0.3">
      <c r="B18" s="23" t="str">
        <f t="shared" si="0"/>
        <v/>
      </c>
      <c r="C18" s="27"/>
      <c r="D18" s="23"/>
      <c r="E18" s="28"/>
      <c r="F18" s="28"/>
      <c r="G18" s="28"/>
      <c r="H18" s="23"/>
      <c r="I18" s="29"/>
      <c r="J18" s="29"/>
      <c r="K18" s="27"/>
      <c r="L18" s="28"/>
    </row>
    <row r="19" spans="2:12" x14ac:dyDescent="0.3">
      <c r="B19" s="23" t="str">
        <f t="shared" si="0"/>
        <v/>
      </c>
      <c r="C19" s="27"/>
      <c r="D19" s="23"/>
      <c r="E19" s="28"/>
      <c r="F19" s="28"/>
      <c r="G19" s="28"/>
      <c r="H19" s="23"/>
      <c r="I19" s="29"/>
      <c r="J19" s="29"/>
      <c r="K19" s="27"/>
      <c r="L19" s="28"/>
    </row>
    <row r="20" spans="2:12" x14ac:dyDescent="0.3">
      <c r="B20" s="23" t="str">
        <f t="shared" si="0"/>
        <v/>
      </c>
      <c r="C20" s="27"/>
      <c r="D20" s="23"/>
      <c r="E20" s="28"/>
      <c r="F20" s="28"/>
      <c r="G20" s="28"/>
      <c r="H20" s="23"/>
      <c r="I20" s="29"/>
      <c r="J20" s="29"/>
      <c r="K20" s="27"/>
      <c r="L20" s="28"/>
    </row>
    <row r="21" spans="2:12" x14ac:dyDescent="0.3">
      <c r="B21" s="23" t="str">
        <f t="shared" si="0"/>
        <v/>
      </c>
      <c r="C21" s="27"/>
      <c r="D21" s="23"/>
      <c r="E21" s="28"/>
      <c r="F21" s="28"/>
      <c r="G21" s="28"/>
      <c r="H21" s="23"/>
      <c r="I21" s="29"/>
      <c r="J21" s="29"/>
      <c r="K21" s="27"/>
      <c r="L21" s="28"/>
    </row>
    <row r="22" spans="2:12" x14ac:dyDescent="0.3">
      <c r="B22" s="23" t="str">
        <f t="shared" si="0"/>
        <v/>
      </c>
      <c r="C22" s="27"/>
      <c r="D22" s="23"/>
      <c r="E22" s="28"/>
      <c r="F22" s="28"/>
      <c r="G22" s="28"/>
      <c r="H22" s="23"/>
      <c r="I22" s="29"/>
      <c r="J22" s="29"/>
      <c r="K22" s="27"/>
      <c r="L22" s="28"/>
    </row>
    <row r="23" spans="2:12" x14ac:dyDescent="0.3">
      <c r="B23" s="23" t="str">
        <f t="shared" si="0"/>
        <v/>
      </c>
      <c r="C23" s="27"/>
      <c r="D23" s="23"/>
      <c r="E23" s="28"/>
      <c r="F23" s="28"/>
      <c r="G23" s="28"/>
      <c r="H23" s="23"/>
      <c r="I23" s="29"/>
      <c r="J23" s="29"/>
      <c r="K23" s="27"/>
      <c r="L23" s="28"/>
    </row>
    <row r="24" spans="2:12" x14ac:dyDescent="0.3">
      <c r="B24" s="23" t="str">
        <f t="shared" si="0"/>
        <v/>
      </c>
      <c r="C24" s="27"/>
      <c r="D24" s="23"/>
      <c r="E24" s="28"/>
      <c r="F24" s="28"/>
      <c r="G24" s="28"/>
      <c r="H24" s="23"/>
      <c r="I24" s="29"/>
      <c r="J24" s="29"/>
      <c r="K24" s="27"/>
      <c r="L24" s="28"/>
    </row>
    <row r="25" spans="2:12" x14ac:dyDescent="0.3">
      <c r="B25" s="23" t="str">
        <f t="shared" si="0"/>
        <v/>
      </c>
      <c r="C25" s="27"/>
      <c r="D25" s="23"/>
      <c r="E25" s="28"/>
      <c r="F25" s="28"/>
      <c r="G25" s="28"/>
      <c r="H25" s="23"/>
      <c r="I25" s="29"/>
      <c r="J25" s="29"/>
      <c r="K25" s="27"/>
      <c r="L25" s="28"/>
    </row>
    <row r="26" spans="2:12" x14ac:dyDescent="0.3">
      <c r="B26" s="23" t="str">
        <f t="shared" si="0"/>
        <v/>
      </c>
      <c r="C26" s="27"/>
      <c r="D26" s="23"/>
      <c r="E26" s="28"/>
      <c r="F26" s="28"/>
      <c r="G26" s="28"/>
      <c r="H26" s="23"/>
      <c r="I26" s="29"/>
      <c r="J26" s="29"/>
      <c r="K26" s="27"/>
      <c r="L26" s="28"/>
    </row>
    <row r="27" spans="2:12" x14ac:dyDescent="0.3">
      <c r="B27" s="23" t="str">
        <f t="shared" si="0"/>
        <v/>
      </c>
      <c r="C27" s="27"/>
      <c r="D27" s="23"/>
      <c r="E27" s="28"/>
      <c r="F27" s="28"/>
      <c r="G27" s="28"/>
      <c r="H27" s="23"/>
      <c r="I27" s="29"/>
      <c r="J27" s="29"/>
      <c r="K27" s="27"/>
      <c r="L27" s="28"/>
    </row>
    <row r="28" spans="2:12" x14ac:dyDescent="0.3">
      <c r="B28" s="23" t="str">
        <f t="shared" si="0"/>
        <v/>
      </c>
      <c r="C28" s="27"/>
      <c r="D28" s="23"/>
      <c r="E28" s="28"/>
      <c r="F28" s="28"/>
      <c r="G28" s="28"/>
      <c r="H28" s="23"/>
      <c r="I28" s="29"/>
      <c r="J28" s="29"/>
      <c r="K28" s="27"/>
      <c r="L28" s="28"/>
    </row>
    <row r="29" spans="2:12" x14ac:dyDescent="0.3">
      <c r="B29" s="23" t="str">
        <f t="shared" si="0"/>
        <v/>
      </c>
      <c r="C29" s="27"/>
      <c r="D29" s="23"/>
      <c r="E29" s="28"/>
      <c r="F29" s="28"/>
      <c r="G29" s="28"/>
      <c r="H29" s="23"/>
      <c r="I29" s="29"/>
      <c r="J29" s="29"/>
      <c r="K29" s="27"/>
      <c r="L29" s="28"/>
    </row>
  </sheetData>
  <mergeCells count="2">
    <mergeCell ref="B2:L2"/>
    <mergeCell ref="L5:L6"/>
  </mergeCells>
  <conditionalFormatting sqref="H5:H29">
    <cfRule type="cellIs" dxfId="3" priority="2" operator="equal">
      <formula>"Aprobado"</formula>
    </cfRule>
    <cfRule type="cellIs" dxfId="2" priority="3" operator="equal">
      <formula>"Rechazado"</formula>
    </cfRule>
    <cfRule type="cellIs" dxfId="1" priority="4" operator="equal">
      <formula>"Propuesto"</formula>
    </cfRule>
    <cfRule type="cellIs" dxfId="0" priority="5" operator="equal">
      <formula>"Implementado"</formula>
    </cfRule>
  </conditionalFormatting>
  <dataValidations count="2">
    <dataValidation type="list" allowBlank="1" sqref="D5:D29" xr:uid="{00000000-0002-0000-0800-000000000000}">
      <formula1>TableroList</formula1>
      <formula2>0</formula2>
    </dataValidation>
    <dataValidation type="list" allowBlank="1" sqref="H5:H29" xr:uid="{00000000-0002-0000-0800-000001000000}">
      <formula1>EstadoCambioList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19"/>
  <sheetViews>
    <sheetView showGridLines="0" zoomScaleNormal="100" workbookViewId="0">
      <selection activeCell="E12" sqref="E12"/>
    </sheetView>
  </sheetViews>
  <sheetFormatPr baseColWidth="10" defaultColWidth="8.6640625" defaultRowHeight="14.4" x14ac:dyDescent="0.3"/>
  <cols>
    <col min="1" max="1" width="2" customWidth="1"/>
    <col min="2" max="2" width="16" customWidth="1"/>
    <col min="3" max="3" width="12" customWidth="1"/>
    <col min="4" max="4" width="3" customWidth="1"/>
    <col min="5" max="5" width="15" customWidth="1"/>
    <col min="6" max="6" width="3" customWidth="1"/>
    <col min="7" max="7" width="15" customWidth="1"/>
    <col min="9" max="9" width="3" customWidth="1"/>
    <col min="10" max="10" width="12" customWidth="1"/>
  </cols>
  <sheetData>
    <row r="2" spans="2:10" ht="17.25" customHeight="1" x14ac:dyDescent="0.3">
      <c r="B2" s="32" t="s">
        <v>166</v>
      </c>
    </row>
    <row r="4" spans="2:10" x14ac:dyDescent="0.3">
      <c r="B4" s="40" t="s">
        <v>167</v>
      </c>
      <c r="C4" s="40"/>
      <c r="J4" s="33" t="s">
        <v>168</v>
      </c>
    </row>
    <row r="5" spans="2:10" x14ac:dyDescent="0.3">
      <c r="B5" s="34" t="s">
        <v>33</v>
      </c>
      <c r="C5" s="9" t="s">
        <v>34</v>
      </c>
      <c r="J5" s="35" t="s">
        <v>10</v>
      </c>
    </row>
    <row r="6" spans="2:10" x14ac:dyDescent="0.3">
      <c r="B6" s="35" t="s">
        <v>50</v>
      </c>
      <c r="C6" s="25">
        <v>0</v>
      </c>
      <c r="J6" s="35" t="s">
        <v>11</v>
      </c>
    </row>
    <row r="7" spans="2:10" x14ac:dyDescent="0.3">
      <c r="B7" s="35" t="s">
        <v>72</v>
      </c>
      <c r="C7" s="25">
        <v>0.5</v>
      </c>
      <c r="J7" s="35" t="s">
        <v>12</v>
      </c>
    </row>
    <row r="8" spans="2:10" x14ac:dyDescent="0.3">
      <c r="B8" s="35" t="s">
        <v>43</v>
      </c>
      <c r="C8" s="25">
        <v>1</v>
      </c>
      <c r="J8" s="35" t="s">
        <v>13</v>
      </c>
    </row>
    <row r="9" spans="2:10" x14ac:dyDescent="0.3">
      <c r="B9" s="35" t="s">
        <v>64</v>
      </c>
      <c r="C9" s="25"/>
      <c r="J9" s="35" t="s">
        <v>14</v>
      </c>
    </row>
    <row r="10" spans="2:10" x14ac:dyDescent="0.3">
      <c r="J10" s="35" t="s">
        <v>15</v>
      </c>
    </row>
    <row r="12" spans="2:10" x14ac:dyDescent="0.3">
      <c r="B12" s="3" t="s">
        <v>169</v>
      </c>
      <c r="E12" s="3" t="s">
        <v>170</v>
      </c>
      <c r="G12" s="3" t="s">
        <v>171</v>
      </c>
    </row>
    <row r="13" spans="2:10" x14ac:dyDescent="0.3">
      <c r="B13" s="35" t="s">
        <v>172</v>
      </c>
      <c r="E13" s="35" t="s">
        <v>173</v>
      </c>
      <c r="G13" s="35" t="s">
        <v>163</v>
      </c>
    </row>
    <row r="14" spans="2:10" x14ac:dyDescent="0.3">
      <c r="B14" s="35" t="s">
        <v>174</v>
      </c>
      <c r="E14" s="35" t="s">
        <v>175</v>
      </c>
      <c r="G14" s="35" t="s">
        <v>176</v>
      </c>
    </row>
    <row r="15" spans="2:10" x14ac:dyDescent="0.3">
      <c r="B15" s="35" t="s">
        <v>177</v>
      </c>
      <c r="E15" s="35" t="s">
        <v>178</v>
      </c>
      <c r="G15" s="35" t="s">
        <v>179</v>
      </c>
    </row>
    <row r="16" spans="2:10" x14ac:dyDescent="0.3">
      <c r="E16" s="35" t="s">
        <v>180</v>
      </c>
      <c r="G16" s="35" t="s">
        <v>181</v>
      </c>
    </row>
    <row r="19" spans="2:2" x14ac:dyDescent="0.3">
      <c r="B19" s="2" t="s">
        <v>182</v>
      </c>
    </row>
  </sheetData>
  <mergeCells count="1">
    <mergeCell ref="B4:C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ACC6SIEFTKZ3Z3POTRG2SAXFL7XEO5GC:ms-officescript%3A%2F%2Fonedrive_business_sharinglink%2Fu!aHR0cHM6Ly9jc2VuZXJneWNoaWxlLW15LnNoYXJlcG9pbnQuY29tLzp1Oi9nL3BlcnNvbmFsL3NlYmFzdGlhbl9hbHZhcmV6X2NzZW5lcmd5X2NsL0lRQ0Ztck84N2U2Y1Rha0M1Vl91UjNUQ0FmM3BaRmNmLVpYWHhyRG44VjVtOFFn"/>
</scriptIds>
</file>

<file path=customXml/itemProps1.xml><?xml version="1.0" encoding="utf-8"?>
<ds:datastoreItem xmlns:ds="http://schemas.openxmlformats.org/officeDocument/2006/customXml" ds:itemID="{A933E8BD-6169-433C-8364-9E5666D61CE4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6</vt:i4>
      </vt:variant>
    </vt:vector>
  </HeadingPairs>
  <TitlesOfParts>
    <vt:vector size="16" baseType="lpstr">
      <vt:lpstr>Resumen</vt:lpstr>
      <vt:lpstr>TP</vt:lpstr>
      <vt:lpstr>T_G2</vt:lpstr>
      <vt:lpstr>BUS_A</vt:lpstr>
      <vt:lpstr>BUS_B</vt:lpstr>
      <vt:lpstr>CLIMA_A</vt:lpstr>
      <vt:lpstr>CLIMA_B</vt:lpstr>
      <vt:lpstr>NoConformidades</vt:lpstr>
      <vt:lpstr>ControlCambios</vt:lpstr>
      <vt:lpstr>Config</vt:lpstr>
      <vt:lpstr>AvanceTbl</vt:lpstr>
      <vt:lpstr>EstadoCambioList</vt:lpstr>
      <vt:lpstr>EstadoList</vt:lpstr>
      <vt:lpstr>EstadoNCList</vt:lpstr>
      <vt:lpstr>SeveridadList</vt:lpstr>
      <vt:lpstr>TableroList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Sebastian Alvarez</cp:lastModifiedBy>
  <cp:revision>0</cp:revision>
  <cp:lastPrinted>2026-07-29T14:54:09Z</cp:lastPrinted>
  <dcterms:created xsi:type="dcterms:W3CDTF">2026-07-02T13:33:18Z</dcterms:created>
  <dcterms:modified xsi:type="dcterms:W3CDTF">2026-08-03T14:25:57Z</dcterms:modified>
  <dc:language>en-US</dc:language>
</cp:coreProperties>
</file>