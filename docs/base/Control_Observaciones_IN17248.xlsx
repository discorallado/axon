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senergychile-my.sharepoint.com/personal/sebastian_alvarez_csenergy_cl/Documents/CSE-Sebastián/01 - CLIENTES/07- IFX/01 - MAGNUS 1/"/>
    </mc:Choice>
  </mc:AlternateContent>
  <xr:revisionPtr revIDLastSave="767" documentId="8_{4459C116-07EC-4CEC-808A-F1D9388685BB}" xr6:coauthVersionLast="47" xr6:coauthVersionMax="47" xr10:uidLastSave="{9D7E4A81-6E14-426C-A792-48070540FFC0}"/>
  <bookViews>
    <workbookView xWindow="-108" yWindow="-108" windowWidth="23256" windowHeight="12456" tabRatio="500" activeTab="1" xr2:uid="{00000000-000D-0000-FFFF-FFFF00000000}"/>
  </bookViews>
  <sheets>
    <sheet name="Registro Visitas" sheetId="2" r:id="rId1"/>
    <sheet name="Observaciones" sheetId="7" r:id="rId2"/>
    <sheet name="Consultas" sheetId="3" r:id="rId3"/>
    <sheet name="Resumen Subsanadas" sheetId="5" r:id="rId4"/>
  </sheets>
  <definedNames>
    <definedName name="_xlnm._FilterDatabase" localSheetId="2" hidden="1">Consultas!$A$2:$J$147</definedName>
    <definedName name="_xlnm._FilterDatabase" localSheetId="1" hidden="1">Observaciones!$A$2:$K$136</definedName>
    <definedName name="_xlnm._FilterDatabase" localSheetId="0" hidden="1">'Registro Visitas'!$A$2:$F$62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4" i="2" l="1"/>
  <c r="E4" i="2" s="1"/>
  <c r="A5" i="2"/>
  <c r="E5" i="2" s="1"/>
  <c r="A6" i="2"/>
  <c r="E6" i="2" s="1"/>
  <c r="A7" i="2"/>
  <c r="E7" i="2" s="1"/>
  <c r="A8" i="2"/>
  <c r="C8" i="2" s="1"/>
  <c r="A9" i="2"/>
  <c r="C9" i="2" s="1"/>
  <c r="A10" i="2"/>
  <c r="C10" i="2" s="1"/>
  <c r="A11" i="2"/>
  <c r="E11" i="2" s="1"/>
  <c r="A12" i="2"/>
  <c r="E12" i="2" s="1"/>
  <c r="A13" i="2"/>
  <c r="C13" i="2" s="1"/>
  <c r="A14" i="2"/>
  <c r="E14" i="2" s="1"/>
  <c r="A15" i="2"/>
  <c r="E15" i="2" s="1"/>
  <c r="A16" i="2"/>
  <c r="E16" i="2" s="1"/>
  <c r="A17" i="2"/>
  <c r="C17" i="2" s="1"/>
  <c r="A18" i="2"/>
  <c r="C18" i="2" s="1"/>
  <c r="A19" i="2"/>
  <c r="C19" i="2" s="1"/>
  <c r="A20" i="2"/>
  <c r="E20" i="2" s="1"/>
  <c r="A21" i="2"/>
  <c r="E21" i="2" s="1"/>
  <c r="A22" i="2"/>
  <c r="E22" i="2" s="1"/>
  <c r="A23" i="2"/>
  <c r="E23" i="2" s="1"/>
  <c r="A24" i="2"/>
  <c r="C24" i="2" s="1"/>
  <c r="A25" i="2"/>
  <c r="C25" i="2" s="1"/>
  <c r="A26" i="2"/>
  <c r="C26" i="2" s="1"/>
  <c r="A27" i="2"/>
  <c r="E27" i="2" s="1"/>
  <c r="A28" i="2"/>
  <c r="E28" i="2" s="1"/>
  <c r="A29" i="2"/>
  <c r="C29" i="2" s="1"/>
  <c r="A30" i="2"/>
  <c r="E30" i="2" s="1"/>
  <c r="A31" i="2"/>
  <c r="E31" i="2" s="1"/>
  <c r="A32" i="2"/>
  <c r="E32" i="2" s="1"/>
  <c r="A33" i="2"/>
  <c r="C33" i="2" s="1"/>
  <c r="A34" i="2"/>
  <c r="C34" i="2" s="1"/>
  <c r="A35" i="2"/>
  <c r="C35" i="2" s="1"/>
  <c r="A36" i="2"/>
  <c r="E36" i="2" s="1"/>
  <c r="A37" i="2"/>
  <c r="E37" i="2" s="1"/>
  <c r="A38" i="2"/>
  <c r="E38" i="2" s="1"/>
  <c r="A39" i="2"/>
  <c r="E39" i="2" s="1"/>
  <c r="A40" i="2"/>
  <c r="C40" i="2" s="1"/>
  <c r="A41" i="2"/>
  <c r="C41" i="2" s="1"/>
  <c r="A42" i="2"/>
  <c r="C42" i="2" s="1"/>
  <c r="A43" i="2"/>
  <c r="C43" i="2" s="1"/>
  <c r="A44" i="2"/>
  <c r="C44" i="2" s="1"/>
  <c r="A45" i="2"/>
  <c r="C45" i="2" s="1"/>
  <c r="A46" i="2"/>
  <c r="E46" i="2" s="1"/>
  <c r="A47" i="2"/>
  <c r="E47" i="2" s="1"/>
  <c r="A48" i="2"/>
  <c r="E48" i="2" s="1"/>
  <c r="A49" i="2"/>
  <c r="E49" i="2" s="1"/>
  <c r="A50" i="2"/>
  <c r="C50" i="2" s="1"/>
  <c r="A51" i="2"/>
  <c r="E51" i="2" s="1"/>
  <c r="A52" i="2"/>
  <c r="E52" i="2" s="1"/>
  <c r="A53" i="2"/>
  <c r="E53" i="2" s="1"/>
  <c r="A54" i="2"/>
  <c r="E54" i="2" s="1"/>
  <c r="A55" i="2"/>
  <c r="E55" i="2" s="1"/>
  <c r="A56" i="2"/>
  <c r="C56" i="2" s="1"/>
  <c r="A57" i="2"/>
  <c r="C57" i="2" s="1"/>
  <c r="A58" i="2"/>
  <c r="C58" i="2" s="1"/>
  <c r="A59" i="2"/>
  <c r="C59" i="2" s="1"/>
  <c r="A60" i="2"/>
  <c r="E60" i="2" s="1"/>
  <c r="A61" i="2"/>
  <c r="C61" i="2" s="1"/>
  <c r="A62" i="2"/>
  <c r="E62" i="2" s="1"/>
  <c r="A3" i="2"/>
  <c r="C3" i="2" s="1"/>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6" i="3"/>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C62" i="2" l="1"/>
  <c r="C60" i="2"/>
  <c r="C55" i="2"/>
  <c r="C54" i="2"/>
  <c r="C23" i="2"/>
  <c r="C22" i="2"/>
  <c r="C6" i="2"/>
  <c r="C15" i="2"/>
  <c r="C12" i="2"/>
  <c r="C16" i="2"/>
  <c r="C14" i="2"/>
  <c r="C7" i="2"/>
  <c r="E44" i="2"/>
  <c r="C31" i="2"/>
  <c r="C36" i="2"/>
  <c r="C32" i="2"/>
  <c r="C30" i="2"/>
  <c r="C28" i="2"/>
  <c r="C49" i="2"/>
  <c r="C47" i="2"/>
  <c r="C46" i="2"/>
  <c r="C37" i="2"/>
  <c r="E35" i="2"/>
  <c r="E34" i="2"/>
  <c r="E33" i="2"/>
  <c r="C52" i="2"/>
  <c r="C51" i="2"/>
  <c r="E29" i="2"/>
  <c r="E19" i="2"/>
  <c r="C48" i="2"/>
  <c r="E50" i="2"/>
  <c r="C20" i="2"/>
  <c r="C53" i="2"/>
  <c r="E61" i="2"/>
  <c r="E18" i="2"/>
  <c r="C21" i="2"/>
  <c r="E17" i="2"/>
  <c r="C39" i="2"/>
  <c r="C38" i="2"/>
  <c r="E45" i="2"/>
  <c r="E13" i="2"/>
  <c r="C4" i="2"/>
  <c r="E3" i="2"/>
  <c r="E43" i="2"/>
  <c r="E42" i="2"/>
  <c r="E26" i="2"/>
  <c r="E10" i="2"/>
  <c r="E57" i="2"/>
  <c r="E41" i="2"/>
  <c r="E25" i="2"/>
  <c r="E9" i="2"/>
  <c r="C5" i="2"/>
  <c r="E59" i="2"/>
  <c r="E56" i="2"/>
  <c r="E40" i="2"/>
  <c r="E24" i="2"/>
  <c r="E8" i="2"/>
  <c r="C27" i="2"/>
  <c r="C11" i="2"/>
  <c r="E58" i="2"/>
  <c r="B12" i="3"/>
  <c r="A12" i="3" s="1"/>
  <c r="B14" i="3"/>
  <c r="A14" i="3" s="1"/>
  <c r="B11" i="3"/>
  <c r="A11" i="3" s="1"/>
  <c r="B5" i="3"/>
  <c r="A5" i="3" s="1"/>
  <c r="B4" i="3"/>
  <c r="A4" i="3" s="1"/>
  <c r="B15" i="3"/>
  <c r="A15" i="3" s="1"/>
  <c r="B10" i="3"/>
  <c r="A10" i="3" s="1"/>
  <c r="B9" i="3"/>
  <c r="A9" i="3" s="1"/>
  <c r="B6" i="3"/>
  <c r="A6" i="3" s="1"/>
  <c r="B16" i="3"/>
  <c r="A16" i="3" s="1"/>
  <c r="B13" i="3"/>
  <c r="A13" i="3" s="1"/>
  <c r="B8" i="3"/>
  <c r="A8" i="3" s="1"/>
  <c r="B3" i="3"/>
  <c r="A3" i="3" s="1"/>
  <c r="B7" i="3"/>
  <c r="A7" i="3" s="1"/>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1" i="3"/>
  <c r="M10" i="3"/>
  <c r="M9" i="3"/>
  <c r="M8" i="3"/>
  <c r="M7" i="3"/>
  <c r="M6" i="3"/>
  <c r="M3" i="3"/>
  <c r="M4" i="3" s="1"/>
  <c r="D52" i="2"/>
  <c r="D41" i="2"/>
  <c r="D40" i="2"/>
  <c r="D9" i="2"/>
  <c r="B44" i="3" l="1"/>
  <c r="A44" i="3" s="1"/>
  <c r="B91" i="3"/>
  <c r="A91" i="3" s="1"/>
  <c r="B57" i="3"/>
  <c r="A57" i="3" s="1"/>
  <c r="B115" i="7"/>
  <c r="A115" i="7" s="1"/>
  <c r="B108" i="7"/>
  <c r="A108" i="7" s="1"/>
  <c r="B36" i="7"/>
  <c r="A36" i="7" s="1"/>
  <c r="B128" i="7"/>
  <c r="A128" i="7" s="1"/>
  <c r="B123" i="3"/>
  <c r="A123" i="3" s="1"/>
  <c r="B111" i="7"/>
  <c r="A111" i="7" s="1"/>
  <c r="B94" i="7"/>
  <c r="A94" i="7" s="1"/>
  <c r="B10" i="7"/>
  <c r="A10" i="7" s="1"/>
  <c r="B65" i="7"/>
  <c r="A65" i="7" s="1"/>
  <c r="B80" i="7"/>
  <c r="A80" i="7" s="1"/>
  <c r="B11" i="7"/>
  <c r="A11" i="7" s="1"/>
  <c r="B95" i="7"/>
  <c r="A95" i="7" s="1"/>
  <c r="B23" i="3"/>
  <c r="A23" i="3" s="1"/>
  <c r="B74" i="3"/>
  <c r="A74" i="3" s="1"/>
  <c r="B65" i="3"/>
  <c r="A65" i="3" s="1"/>
  <c r="B14" i="7"/>
  <c r="A14" i="7" s="1"/>
  <c r="B34" i="3"/>
  <c r="A34" i="3" s="1"/>
  <c r="B35" i="7"/>
  <c r="A35" i="7" s="1"/>
  <c r="B67" i="3"/>
  <c r="A67" i="3" s="1"/>
  <c r="B126" i="7"/>
  <c r="A126" i="7" s="1"/>
  <c r="B76" i="3"/>
  <c r="A76" i="3" s="1"/>
  <c r="B49" i="7"/>
  <c r="A49" i="7" s="1"/>
  <c r="B64" i="7"/>
  <c r="A64" i="7" s="1"/>
  <c r="B75" i="3"/>
  <c r="A75" i="3" s="1"/>
  <c r="B79" i="7"/>
  <c r="A79" i="7" s="1"/>
  <c r="B39" i="3"/>
  <c r="A39" i="3" s="1"/>
  <c r="B139" i="7"/>
  <c r="B59" i="3"/>
  <c r="A59" i="3" s="1"/>
  <c r="B82" i="7"/>
  <c r="A82" i="7" s="1"/>
  <c r="B133" i="3"/>
  <c r="A133" i="3" s="1"/>
  <c r="B106" i="3"/>
  <c r="A106" i="3" s="1"/>
  <c r="B90" i="7"/>
  <c r="A90" i="7" s="1"/>
  <c r="B66" i="7"/>
  <c r="A66" i="7" s="1"/>
  <c r="B144" i="7"/>
  <c r="B93" i="7"/>
  <c r="A93" i="7" s="1"/>
  <c r="B92" i="3"/>
  <c r="A92" i="3" s="1"/>
  <c r="B26" i="3"/>
  <c r="A26" i="3" s="1"/>
  <c r="B28" i="3"/>
  <c r="A28" i="3" s="1"/>
  <c r="B34" i="7"/>
  <c r="A34" i="7" s="1"/>
  <c r="B124" i="7"/>
  <c r="A124" i="7" s="1"/>
  <c r="B3" i="7"/>
  <c r="A3" i="7" s="1"/>
  <c r="B19" i="7"/>
  <c r="A19" i="7" s="1"/>
  <c r="B55" i="3"/>
  <c r="A55" i="3" s="1"/>
  <c r="B66" i="3"/>
  <c r="A66" i="3" s="1"/>
  <c r="B20" i="3"/>
  <c r="A20" i="3" s="1"/>
  <c r="B43" i="3"/>
  <c r="A43" i="3" s="1"/>
  <c r="B113" i="3"/>
  <c r="A113" i="3" s="1"/>
  <c r="B115" i="3"/>
  <c r="A115" i="3" s="1"/>
  <c r="B36" i="3"/>
  <c r="A36" i="3" s="1"/>
  <c r="B60" i="3"/>
  <c r="A60" i="3" s="1"/>
  <c r="B129" i="3"/>
  <c r="A129" i="3" s="1"/>
  <c r="B137" i="3"/>
  <c r="A137" i="3" s="1"/>
  <c r="B98" i="3"/>
  <c r="A98" i="3" s="1"/>
  <c r="B104" i="3"/>
  <c r="A104" i="3" s="1"/>
  <c r="B131" i="3"/>
  <c r="A131" i="3" s="1"/>
  <c r="B29" i="7"/>
  <c r="A29" i="7" s="1"/>
  <c r="B52" i="3"/>
  <c r="A52" i="3" s="1"/>
  <c r="B37" i="3"/>
  <c r="A37" i="3" s="1"/>
  <c r="B110" i="7"/>
  <c r="A110" i="7" s="1"/>
  <c r="B22" i="3"/>
  <c r="A22" i="3" s="1"/>
  <c r="B15" i="7"/>
  <c r="A15" i="7" s="1"/>
  <c r="B103" i="3"/>
  <c r="A103" i="3" s="1"/>
  <c r="B122" i="7"/>
  <c r="A122" i="7" s="1"/>
  <c r="B20" i="7"/>
  <c r="A20" i="7" s="1"/>
  <c r="B112" i="7"/>
  <c r="A112" i="7" s="1"/>
  <c r="B67" i="7"/>
  <c r="A67" i="7" s="1"/>
  <c r="B12" i="7"/>
  <c r="A12" i="7" s="1"/>
  <c r="B49" i="3"/>
  <c r="A49" i="3" s="1"/>
  <c r="B51" i="3"/>
  <c r="A51" i="3" s="1"/>
  <c r="B72" i="3"/>
  <c r="A72" i="3" s="1"/>
  <c r="B48" i="7"/>
  <c r="A48" i="7" s="1"/>
  <c r="B32" i="7"/>
  <c r="A32" i="7" s="1"/>
  <c r="B16" i="7"/>
  <c r="A16" i="7" s="1"/>
  <c r="B145" i="3"/>
  <c r="A145" i="3" s="1"/>
  <c r="B76" i="7"/>
  <c r="A76" i="7" s="1"/>
  <c r="B114" i="3"/>
  <c r="A114" i="3" s="1"/>
  <c r="B77" i="7"/>
  <c r="A77" i="7" s="1"/>
  <c r="B147" i="3"/>
  <c r="A147" i="3" s="1"/>
  <c r="B25" i="3"/>
  <c r="A25" i="3" s="1"/>
  <c r="B68" i="3"/>
  <c r="A68" i="3" s="1"/>
  <c r="B53" i="3"/>
  <c r="A53" i="3" s="1"/>
  <c r="B30" i="7"/>
  <c r="A30" i="7" s="1"/>
  <c r="B38" i="3"/>
  <c r="A38" i="3" s="1"/>
  <c r="B78" i="7"/>
  <c r="A78" i="7" s="1"/>
  <c r="B119" i="3"/>
  <c r="A119" i="3" s="1"/>
  <c r="B26" i="7"/>
  <c r="A26" i="7" s="1"/>
  <c r="B113" i="7"/>
  <c r="A113" i="7" s="1"/>
  <c r="B83" i="7"/>
  <c r="A83" i="7" s="1"/>
  <c r="B122" i="3"/>
  <c r="A122" i="3" s="1"/>
  <c r="B124" i="3"/>
  <c r="A124" i="3" s="1"/>
  <c r="B81" i="7"/>
  <c r="A81" i="7" s="1"/>
  <c r="B51" i="7"/>
  <c r="A51" i="7" s="1"/>
  <c r="B81" i="3"/>
  <c r="A81" i="3" s="1"/>
  <c r="B24" i="3"/>
  <c r="A24" i="3" s="1"/>
  <c r="B138" i="7"/>
  <c r="B141" i="7"/>
  <c r="B120" i="3"/>
  <c r="A120" i="3" s="1"/>
  <c r="B47" i="7"/>
  <c r="A47" i="7" s="1"/>
  <c r="B46" i="7"/>
  <c r="A46" i="7" s="1"/>
  <c r="B109" i="7"/>
  <c r="A109" i="7" s="1"/>
  <c r="B31" i="7"/>
  <c r="A31" i="7" s="1"/>
  <c r="B132" i="7"/>
  <c r="A132" i="7" s="1"/>
  <c r="B28" i="7"/>
  <c r="A28" i="7" s="1"/>
  <c r="B130" i="3"/>
  <c r="A130" i="3" s="1"/>
  <c r="B89" i="3"/>
  <c r="A89" i="3" s="1"/>
  <c r="B146" i="7"/>
  <c r="B121" i="3"/>
  <c r="A121" i="3" s="1"/>
  <c r="B84" i="3"/>
  <c r="A84" i="3" s="1"/>
  <c r="B69" i="3"/>
  <c r="A69" i="3" s="1"/>
  <c r="B56" i="3"/>
  <c r="A56" i="3" s="1"/>
  <c r="B54" i="3"/>
  <c r="A54" i="3" s="1"/>
  <c r="B88" i="3"/>
  <c r="A88" i="3" s="1"/>
  <c r="B135" i="3"/>
  <c r="A135" i="3" s="1"/>
  <c r="B89" i="7"/>
  <c r="A89" i="7" s="1"/>
  <c r="B45" i="3"/>
  <c r="A45" i="3" s="1"/>
  <c r="B120" i="7"/>
  <c r="A120" i="7" s="1"/>
  <c r="B56" i="7"/>
  <c r="A56" i="7" s="1"/>
  <c r="B30" i="3"/>
  <c r="A30" i="3" s="1"/>
  <c r="B103" i="7"/>
  <c r="A103" i="7" s="1"/>
  <c r="B31" i="3"/>
  <c r="A31" i="3" s="1"/>
  <c r="B143" i="3"/>
  <c r="A143" i="3" s="1"/>
  <c r="B102" i="7"/>
  <c r="A102" i="7" s="1"/>
  <c r="B80" i="3"/>
  <c r="A80" i="3" s="1"/>
  <c r="B133" i="7"/>
  <c r="A133" i="7" s="1"/>
  <c r="B73" i="7"/>
  <c r="A73" i="7" s="1"/>
  <c r="B93" i="3"/>
  <c r="A93" i="3" s="1"/>
  <c r="B72" i="7"/>
  <c r="A72" i="7" s="1"/>
  <c r="B94" i="3"/>
  <c r="A94" i="3" s="1"/>
  <c r="B87" i="7"/>
  <c r="A87" i="7" s="1"/>
  <c r="B111" i="3"/>
  <c r="A111" i="3" s="1"/>
  <c r="B70" i="7"/>
  <c r="A70" i="7" s="1"/>
  <c r="B112" i="3"/>
  <c r="A112" i="3" s="1"/>
  <c r="B37" i="7"/>
  <c r="A37" i="7" s="1"/>
  <c r="B57" i="7"/>
  <c r="A57" i="7" s="1"/>
  <c r="B29" i="3"/>
  <c r="A29" i="3" s="1"/>
  <c r="B125" i="3"/>
  <c r="A125" i="3" s="1"/>
  <c r="B104" i="7"/>
  <c r="A104" i="7" s="1"/>
  <c r="B46" i="3"/>
  <c r="A46" i="3" s="1"/>
  <c r="B142" i="3"/>
  <c r="A142" i="3" s="1"/>
  <c r="B71" i="7"/>
  <c r="A71" i="7" s="1"/>
  <c r="B7" i="7"/>
  <c r="A7" i="7" s="1"/>
  <c r="B95" i="3"/>
  <c r="A95" i="3" s="1"/>
  <c r="B118" i="7"/>
  <c r="A118" i="7" s="1"/>
  <c r="B22" i="7"/>
  <c r="A22" i="7" s="1"/>
  <c r="B32" i="3"/>
  <c r="A32" i="3" s="1"/>
  <c r="B144" i="3"/>
  <c r="A144" i="3" s="1"/>
  <c r="B117" i="7"/>
  <c r="A117" i="7" s="1"/>
  <c r="B9" i="7"/>
  <c r="A9" i="7" s="1"/>
  <c r="B24" i="7"/>
  <c r="A24" i="7" s="1"/>
  <c r="B78" i="3"/>
  <c r="A78" i="3" s="1"/>
  <c r="B135" i="7"/>
  <c r="A135" i="7" s="1"/>
  <c r="B63" i="3"/>
  <c r="A63" i="3" s="1"/>
  <c r="B134" i="7"/>
  <c r="A134" i="7" s="1"/>
  <c r="B64" i="3"/>
  <c r="A64" i="3" s="1"/>
  <c r="B69" i="7"/>
  <c r="A69" i="7" s="1"/>
  <c r="B137" i="7"/>
  <c r="B61" i="3"/>
  <c r="A61" i="3" s="1"/>
  <c r="B136" i="7"/>
  <c r="A136" i="7" s="1"/>
  <c r="B62" i="3"/>
  <c r="A62" i="3" s="1"/>
  <c r="B119" i="7"/>
  <c r="A119" i="7" s="1"/>
  <c r="B23" i="7"/>
  <c r="A23" i="7" s="1"/>
  <c r="B79" i="3"/>
  <c r="A79" i="3" s="1"/>
  <c r="B54" i="7"/>
  <c r="A54" i="7" s="1"/>
  <c r="B48" i="3"/>
  <c r="A48" i="3" s="1"/>
  <c r="B101" i="7"/>
  <c r="A101" i="7" s="1"/>
  <c r="B21" i="7"/>
  <c r="A21" i="7" s="1"/>
  <c r="B25" i="7"/>
  <c r="A25" i="7" s="1"/>
  <c r="B109" i="3"/>
  <c r="A109" i="3" s="1"/>
  <c r="B40" i="7"/>
  <c r="A40" i="7" s="1"/>
  <c r="B126" i="3"/>
  <c r="A126" i="3" s="1"/>
  <c r="B39" i="7"/>
  <c r="A39" i="7" s="1"/>
  <c r="B127" i="3"/>
  <c r="A127" i="3" s="1"/>
  <c r="B38" i="7"/>
  <c r="A38" i="7" s="1"/>
  <c r="B128" i="3"/>
  <c r="A128" i="3" s="1"/>
  <c r="B53" i="7"/>
  <c r="A53" i="7" s="1"/>
  <c r="B41" i="7"/>
  <c r="A41" i="7" s="1"/>
  <c r="B77" i="3"/>
  <c r="A77" i="3" s="1"/>
  <c r="B141" i="3"/>
  <c r="A141" i="3" s="1"/>
  <c r="B88" i="7"/>
  <c r="A88" i="7" s="1"/>
  <c r="B8" i="7"/>
  <c r="A8" i="7" s="1"/>
  <c r="B110" i="3"/>
  <c r="A110" i="3" s="1"/>
  <c r="B55" i="7"/>
  <c r="A55" i="7" s="1"/>
  <c r="B47" i="3"/>
  <c r="A47" i="3" s="1"/>
  <c r="B86" i="7"/>
  <c r="A86" i="7" s="1"/>
  <c r="B6" i="7"/>
  <c r="A6" i="7" s="1"/>
  <c r="B96" i="3"/>
  <c r="A96" i="3" s="1"/>
  <c r="B85" i="7"/>
  <c r="A85" i="7" s="1"/>
  <c r="B5" i="7"/>
  <c r="A5" i="7" s="1"/>
  <c r="B143" i="7"/>
  <c r="B127" i="7"/>
  <c r="A127" i="7" s="1"/>
  <c r="B123" i="7"/>
  <c r="A123" i="7" s="1"/>
  <c r="B33" i="7"/>
  <c r="A33" i="7" s="1"/>
  <c r="B4" i="7"/>
  <c r="A4" i="7" s="1"/>
  <c r="B71" i="3"/>
  <c r="A71" i="3" s="1"/>
  <c r="B21" i="3"/>
  <c r="A21" i="3" s="1"/>
  <c r="B116" i="7"/>
  <c r="A116" i="7" s="1"/>
  <c r="B58" i="3"/>
  <c r="A58" i="3" s="1"/>
  <c r="B146" i="3"/>
  <c r="A146" i="3" s="1"/>
  <c r="B60" i="7"/>
  <c r="A60" i="7" s="1"/>
  <c r="B130" i="7"/>
  <c r="A130" i="7" s="1"/>
  <c r="B140" i="7"/>
  <c r="B100" i="3"/>
  <c r="A100" i="3" s="1"/>
  <c r="B85" i="3"/>
  <c r="A85" i="3" s="1"/>
  <c r="B125" i="7"/>
  <c r="A125" i="7" s="1"/>
  <c r="B70" i="3"/>
  <c r="A70" i="3" s="1"/>
  <c r="B61" i="7"/>
  <c r="A61" i="7" s="1"/>
  <c r="B142" i="7"/>
  <c r="B140" i="3"/>
  <c r="A140" i="3" s="1"/>
  <c r="B131" i="7"/>
  <c r="A131" i="7" s="1"/>
  <c r="B145" i="7"/>
  <c r="B136" i="3"/>
  <c r="A136" i="3" s="1"/>
  <c r="B52" i="7"/>
  <c r="A52" i="7" s="1"/>
  <c r="B74" i="7"/>
  <c r="A74" i="7" s="1"/>
  <c r="B129" i="7"/>
  <c r="A129" i="7" s="1"/>
  <c r="B134" i="3"/>
  <c r="A134" i="3" s="1"/>
  <c r="B99" i="7"/>
  <c r="A99" i="7" s="1"/>
  <c r="B50" i="7"/>
  <c r="A50" i="7" s="1"/>
  <c r="B27" i="3"/>
  <c r="A27" i="3" s="1"/>
  <c r="B73" i="3"/>
  <c r="A73" i="3" s="1"/>
  <c r="B19" i="3"/>
  <c r="A19" i="3" s="1"/>
  <c r="B58" i="7"/>
  <c r="A58" i="7" s="1"/>
  <c r="B33" i="3"/>
  <c r="A33" i="3" s="1"/>
  <c r="B35" i="3"/>
  <c r="A35" i="3" s="1"/>
  <c r="B106" i="7"/>
  <c r="A106" i="7" s="1"/>
  <c r="B96" i="7"/>
  <c r="A96" i="7" s="1"/>
  <c r="B50" i="3"/>
  <c r="A50" i="3" s="1"/>
  <c r="B121" i="7"/>
  <c r="A121" i="7" s="1"/>
  <c r="B43" i="7"/>
  <c r="A43" i="7" s="1"/>
  <c r="B97" i="3"/>
  <c r="A97" i="3" s="1"/>
  <c r="B99" i="3"/>
  <c r="A99" i="3" s="1"/>
  <c r="B42" i="7"/>
  <c r="A42" i="7" s="1"/>
  <c r="B82" i="3"/>
  <c r="A82" i="3" s="1"/>
  <c r="B87" i="3"/>
  <c r="A87" i="3" s="1"/>
  <c r="B100" i="7"/>
  <c r="A100" i="7" s="1"/>
  <c r="B107" i="7"/>
  <c r="A107" i="7" s="1"/>
  <c r="B90" i="3"/>
  <c r="A90" i="3" s="1"/>
  <c r="B114" i="7"/>
  <c r="A114" i="7" s="1"/>
  <c r="B44" i="7"/>
  <c r="A44" i="7" s="1"/>
  <c r="B116" i="3"/>
  <c r="A116" i="3" s="1"/>
  <c r="B101" i="3"/>
  <c r="A101" i="3" s="1"/>
  <c r="B45" i="7"/>
  <c r="A45" i="7" s="1"/>
  <c r="B86" i="3"/>
  <c r="A86" i="3" s="1"/>
  <c r="B105" i="3"/>
  <c r="A105" i="3" s="1"/>
  <c r="B62" i="7"/>
  <c r="A62" i="7" s="1"/>
  <c r="B105" i="7"/>
  <c r="A105" i="7" s="1"/>
  <c r="B68" i="7"/>
  <c r="A68" i="7" s="1"/>
  <c r="B138" i="3"/>
  <c r="A138" i="3" s="1"/>
  <c r="B118" i="3"/>
  <c r="A118" i="3" s="1"/>
  <c r="B91" i="7"/>
  <c r="A91" i="7" s="1"/>
  <c r="B75" i="7"/>
  <c r="A75" i="7" s="1"/>
  <c r="B107" i="3"/>
  <c r="A107" i="3" s="1"/>
  <c r="B97" i="7"/>
  <c r="A97" i="7" s="1"/>
  <c r="B18" i="7"/>
  <c r="A18" i="7" s="1"/>
  <c r="B108" i="3"/>
  <c r="A108" i="3" s="1"/>
  <c r="B18" i="3"/>
  <c r="A18" i="3" s="1"/>
  <c r="B83" i="3"/>
  <c r="A83" i="3" s="1"/>
  <c r="B63" i="7"/>
  <c r="A63" i="7" s="1"/>
  <c r="B17" i="7"/>
  <c r="A17" i="7" s="1"/>
  <c r="B41" i="3"/>
  <c r="A41" i="3" s="1"/>
  <c r="B139" i="3"/>
  <c r="A139" i="3" s="1"/>
  <c r="B84" i="7"/>
  <c r="A84" i="7" s="1"/>
  <c r="B27" i="7"/>
  <c r="A27" i="7" s="1"/>
  <c r="B147" i="7"/>
  <c r="B59" i="7"/>
  <c r="A59" i="7" s="1"/>
  <c r="B98" i="7"/>
  <c r="A98" i="7" s="1"/>
  <c r="B42" i="3"/>
  <c r="A42" i="3" s="1"/>
  <c r="B132" i="3"/>
  <c r="A132" i="3" s="1"/>
  <c r="B117" i="3"/>
  <c r="A117" i="3" s="1"/>
  <c r="B13" i="7"/>
  <c r="A13" i="7" s="1"/>
  <c r="B102" i="3"/>
  <c r="A102" i="3" s="1"/>
  <c r="B92" i="7"/>
  <c r="A92" i="7" s="1"/>
  <c r="B40" i="3"/>
  <c r="A40" i="3" s="1"/>
  <c r="B17" i="3"/>
  <c r="A17" i="3" s="1"/>
  <c r="M5" i="3"/>
  <c r="D32" i="2"/>
  <c r="D8" i="2"/>
  <c r="D23" i="2"/>
  <c r="D44" i="2"/>
  <c r="D55" i="2"/>
  <c r="D12" i="2"/>
  <c r="D16" i="2"/>
  <c r="D48" i="2"/>
  <c r="D20" i="2"/>
  <c r="D46" i="2"/>
  <c r="D24" i="2"/>
  <c r="D56" i="2"/>
  <c r="D14" i="2"/>
  <c r="D17" i="2"/>
  <c r="D49" i="2"/>
  <c r="D43" i="2"/>
  <c r="D11" i="2"/>
  <c r="M12" i="3"/>
  <c r="D53" i="2"/>
  <c r="D15" i="2"/>
  <c r="D47" i="2"/>
  <c r="D36" i="2"/>
  <c r="D18" i="2"/>
  <c r="D29" i="2"/>
  <c r="D50" i="2"/>
  <c r="D61" i="2"/>
  <c r="D33" i="2"/>
  <c r="D59" i="2"/>
  <c r="D62" i="2"/>
  <c r="D7" i="2"/>
  <c r="D39" i="2"/>
  <c r="D35" i="2"/>
  <c r="D30" i="2"/>
  <c r="D58" i="2"/>
  <c r="D38" i="2"/>
  <c r="D26" i="2"/>
  <c r="D6" i="2"/>
  <c r="D27" i="2"/>
  <c r="D21" i="2"/>
  <c r="D10" i="2"/>
  <c r="D13" i="2"/>
  <c r="D45" i="2"/>
  <c r="D19" i="2"/>
  <c r="D22" i="2"/>
  <c r="D51" i="2"/>
  <c r="D54" i="2"/>
  <c r="D42" i="2"/>
  <c r="D34" i="2"/>
  <c r="D37" i="2"/>
  <c r="D5" i="2"/>
  <c r="D25" i="2"/>
  <c r="D28" i="2"/>
  <c r="D31" i="2"/>
  <c r="D57" i="2"/>
  <c r="D60" i="2"/>
  <c r="K97" i="7" l="1"/>
  <c r="K7" i="7"/>
  <c r="K75" i="7"/>
  <c r="K91" i="7"/>
  <c r="K69" i="7"/>
  <c r="K11" i="7"/>
  <c r="K50" i="7"/>
  <c r="K102" i="7"/>
  <c r="K80" i="7"/>
  <c r="K99" i="7"/>
  <c r="K42" i="7"/>
  <c r="K103" i="7"/>
  <c r="K34" i="7"/>
  <c r="K74" i="7"/>
  <c r="K49" i="7"/>
  <c r="K111" i="7"/>
  <c r="K43" i="7"/>
  <c r="K52" i="7"/>
  <c r="K116" i="7"/>
  <c r="K101" i="7"/>
  <c r="K24" i="7"/>
  <c r="K37" i="7"/>
  <c r="K56" i="7"/>
  <c r="K31" i="7"/>
  <c r="K125" i="7"/>
  <c r="K51" i="7"/>
  <c r="K130" i="7"/>
  <c r="K16" i="7"/>
  <c r="K29" i="7"/>
  <c r="K113" i="7"/>
  <c r="K55" i="7"/>
  <c r="K26" i="7"/>
  <c r="K8" i="7"/>
  <c r="K9" i="7"/>
  <c r="K120" i="7"/>
  <c r="K109" i="7"/>
  <c r="K78" i="7"/>
  <c r="K126" i="7"/>
  <c r="K128" i="7"/>
  <c r="K73" i="7"/>
  <c r="K82" i="7"/>
  <c r="K133" i="7"/>
  <c r="K95" i="7"/>
  <c r="K100" i="7"/>
  <c r="K104" i="7"/>
  <c r="K84" i="7"/>
  <c r="K105" i="7"/>
  <c r="K135" i="7"/>
  <c r="K28" i="7"/>
  <c r="K64" i="7"/>
  <c r="K21" i="7"/>
  <c r="K132" i="7"/>
  <c r="K17" i="7"/>
  <c r="K63" i="7"/>
  <c r="K45" i="7"/>
  <c r="K88" i="7"/>
  <c r="K54" i="7"/>
  <c r="K117" i="7"/>
  <c r="K70" i="7"/>
  <c r="K46" i="7"/>
  <c r="K12" i="7"/>
  <c r="K93" i="7"/>
  <c r="K36" i="7"/>
  <c r="K136" i="7"/>
  <c r="K98" i="7"/>
  <c r="K71" i="7"/>
  <c r="K59" i="7"/>
  <c r="K81" i="7"/>
  <c r="K19" i="7"/>
  <c r="K27" i="7"/>
  <c r="K40" i="7"/>
  <c r="K3" i="7"/>
  <c r="K10" i="7"/>
  <c r="K129" i="7"/>
  <c r="K57" i="7"/>
  <c r="K121" i="7"/>
  <c r="K92" i="7"/>
  <c r="K96" i="7"/>
  <c r="K131" i="7"/>
  <c r="K4" i="7"/>
  <c r="K89" i="7"/>
  <c r="K47" i="7"/>
  <c r="K30" i="7"/>
  <c r="K67" i="7"/>
  <c r="K35" i="7"/>
  <c r="K108" i="7"/>
  <c r="K77" i="7"/>
  <c r="K39" i="7"/>
  <c r="K110" i="7"/>
  <c r="K6" i="7"/>
  <c r="K79" i="7"/>
  <c r="K60" i="7"/>
  <c r="K83" i="7"/>
  <c r="K106" i="7"/>
  <c r="K33" i="7"/>
  <c r="K23" i="7"/>
  <c r="K87" i="7"/>
  <c r="K112" i="7"/>
  <c r="K66" i="7"/>
  <c r="K115" i="7"/>
  <c r="K127" i="7"/>
  <c r="K38" i="7"/>
  <c r="K15" i="7"/>
  <c r="K107" i="7"/>
  <c r="K134" i="7"/>
  <c r="K65" i="7"/>
  <c r="K86" i="7"/>
  <c r="K32" i="7"/>
  <c r="K48" i="7"/>
  <c r="K62" i="7"/>
  <c r="K13" i="7"/>
  <c r="K44" i="7"/>
  <c r="K123" i="7"/>
  <c r="K41" i="7"/>
  <c r="K119" i="7"/>
  <c r="K22" i="7"/>
  <c r="K20" i="7"/>
  <c r="K90" i="7"/>
  <c r="K14" i="7"/>
  <c r="K58" i="7"/>
  <c r="K5" i="7"/>
  <c r="K85" i="7"/>
  <c r="K76" i="7"/>
  <c r="K68" i="7"/>
  <c r="K124" i="7"/>
  <c r="K25" i="7"/>
  <c r="K94" i="7"/>
  <c r="K18" i="7"/>
  <c r="K114" i="7"/>
  <c r="K61" i="7"/>
  <c r="K53" i="7"/>
  <c r="K118" i="7"/>
  <c r="K72" i="7"/>
  <c r="K122" i="7"/>
  <c r="N5" i="7" l="1"/>
  <c r="N3" i="7"/>
  <c r="E3" i="5" s="1"/>
  <c r="D3" i="5" l="1"/>
  <c r="A3" i="5"/>
  <c r="C3" i="5"/>
  <c r="G3" i="5"/>
  <c r="B3" i="5"/>
  <c r="F3" i="5"/>
  <c r="H3" i="5"/>
  <c r="N4" i="7"/>
  <c r="D3" i="2"/>
  <c r="D4" i="2"/>
  <c r="N133" i="7"/>
  <c r="N17" i="7"/>
  <c r="N12" i="7"/>
  <c r="N100" i="7"/>
  <c r="N24" i="7"/>
  <c r="N18" i="7"/>
  <c r="N73" i="7"/>
  <c r="N62" i="7"/>
  <c r="N102" i="7"/>
  <c r="N145" i="7"/>
  <c r="N80" i="7"/>
  <c r="N140" i="7"/>
  <c r="N115" i="7"/>
  <c r="N85" i="7"/>
  <c r="N69" i="7"/>
  <c r="N137" i="7"/>
  <c r="N27" i="7"/>
  <c r="N91" i="7"/>
  <c r="N127" i="7"/>
  <c r="N112" i="7"/>
  <c r="N106" i="7"/>
  <c r="N71" i="7"/>
  <c r="N139" i="7"/>
  <c r="N34" i="7"/>
  <c r="N74" i="7"/>
  <c r="N101" i="7"/>
  <c r="N110" i="7"/>
  <c r="N138" i="7"/>
  <c r="N132" i="7"/>
  <c r="N14" i="7"/>
  <c r="N129" i="7"/>
  <c r="N42" i="7"/>
  <c r="N143" i="7"/>
  <c r="N32" i="7"/>
  <c r="N84" i="7"/>
  <c r="N75" i="7"/>
  <c r="N57" i="7"/>
  <c r="N111" i="7"/>
  <c r="N37" i="7"/>
  <c r="N7" i="7"/>
  <c r="N19" i="7"/>
  <c r="N113" i="7"/>
  <c r="N117" i="7"/>
  <c r="N105" i="7"/>
  <c r="N147" i="7"/>
  <c r="N10" i="7"/>
  <c r="N104" i="7"/>
  <c r="N120" i="7"/>
  <c r="N55" i="7"/>
  <c r="N50" i="7"/>
  <c r="N126" i="7"/>
  <c r="N103" i="7"/>
  <c r="N142" i="7"/>
  <c r="N123" i="7"/>
  <c r="N82" i="7"/>
  <c r="N25" i="7"/>
  <c r="N88" i="7"/>
  <c r="N38" i="7"/>
  <c r="N146" i="7"/>
  <c r="N8" i="7"/>
  <c r="N96" i="7"/>
  <c r="N47" i="7"/>
  <c r="N109" i="7"/>
  <c r="N58" i="7"/>
  <c r="N86" i="7"/>
  <c r="N136" i="7"/>
  <c r="N144" i="7"/>
  <c r="N51" i="7"/>
  <c r="N114" i="7"/>
  <c r="N79" i="7"/>
  <c r="N16" i="7"/>
  <c r="N83" i="7"/>
  <c r="N52" i="7"/>
  <c r="N45" i="7"/>
  <c r="N78" i="7"/>
  <c r="N108" i="7"/>
  <c r="N22" i="7"/>
  <c r="N65" i="7"/>
  <c r="N93" i="7"/>
  <c r="N68" i="7"/>
  <c r="N90" i="7"/>
  <c r="N92" i="7"/>
  <c r="N87" i="7"/>
  <c r="N118" i="7"/>
  <c r="N124" i="7"/>
  <c r="N36" i="7"/>
  <c r="N44" i="7"/>
  <c r="N131" i="7"/>
  <c r="N107" i="7"/>
  <c r="N21" i="7"/>
  <c r="N56" i="7"/>
  <c r="N81" i="7"/>
  <c r="N98" i="7"/>
  <c r="N66" i="7"/>
  <c r="N89" i="7"/>
  <c r="N119" i="7"/>
  <c r="N125" i="7"/>
  <c r="N33" i="7"/>
  <c r="N70" i="7"/>
  <c r="N63" i="7"/>
  <c r="N141" i="7"/>
  <c r="N60" i="7"/>
  <c r="N99" i="7"/>
  <c r="N130" i="7"/>
  <c r="N20" i="7"/>
  <c r="N134" i="7"/>
  <c r="B154" i="5"/>
  <c r="N28" i="7"/>
  <c r="N77" i="7"/>
  <c r="N49" i="7"/>
  <c r="N116" i="7"/>
  <c r="N41" i="7"/>
  <c r="N13" i="7"/>
  <c r="N76" i="7"/>
  <c r="N128" i="7"/>
  <c r="N15" i="7"/>
  <c r="N29" i="7"/>
  <c r="N31" i="7"/>
  <c r="N6" i="7"/>
  <c r="N40" i="7"/>
  <c r="N64" i="7"/>
  <c r="N9" i="7"/>
  <c r="N48" i="7"/>
  <c r="N53" i="7"/>
  <c r="N23" i="7"/>
  <c r="N59" i="7"/>
  <c r="N26" i="7"/>
  <c r="N30" i="7"/>
  <c r="N122" i="7"/>
  <c r="N135" i="7"/>
  <c r="N46" i="7"/>
  <c r="N39" i="7"/>
  <c r="N72" i="7"/>
  <c r="N61" i="7"/>
  <c r="N95" i="7"/>
  <c r="N97" i="7"/>
  <c r="N54" i="7"/>
  <c r="N121" i="7"/>
  <c r="N35" i="7"/>
  <c r="N43" i="7"/>
  <c r="N11" i="7"/>
  <c r="N67" i="7"/>
  <c r="N94" i="7"/>
  <c r="H74" i="5" l="1"/>
  <c r="E145" i="5"/>
  <c r="B9" i="5"/>
  <c r="H135" i="5"/>
  <c r="G14" i="5"/>
  <c r="G23" i="5"/>
  <c r="H34" i="5"/>
  <c r="B70" i="5"/>
  <c r="A22" i="5"/>
  <c r="F26" i="5"/>
  <c r="C69" i="5"/>
  <c r="A80" i="5"/>
  <c r="A150" i="5"/>
  <c r="A120" i="5"/>
  <c r="B143" i="5"/>
  <c r="D101" i="5"/>
  <c r="A89" i="5"/>
  <c r="D111" i="5"/>
  <c r="F87" i="5"/>
  <c r="B54" i="5"/>
  <c r="H68" i="5"/>
  <c r="D78" i="5"/>
  <c r="H128" i="5"/>
  <c r="E144" i="5"/>
  <c r="G95" i="5"/>
  <c r="D60" i="5"/>
  <c r="D144" i="5"/>
  <c r="G52" i="5"/>
  <c r="G28" i="5"/>
  <c r="E102" i="5"/>
  <c r="H52" i="5"/>
  <c r="C113" i="5"/>
  <c r="C94" i="5"/>
  <c r="H38" i="5"/>
  <c r="D87" i="5"/>
  <c r="B35" i="5"/>
  <c r="B139" i="5"/>
  <c r="G127" i="5"/>
  <c r="D116" i="5"/>
  <c r="C22" i="5"/>
  <c r="G83" i="5"/>
  <c r="A32" i="5"/>
  <c r="G33" i="5"/>
  <c r="E114" i="5"/>
  <c r="D108" i="5"/>
  <c r="E21" i="5"/>
  <c r="E119" i="5"/>
  <c r="F16" i="5"/>
  <c r="E96" i="5"/>
  <c r="A73" i="5"/>
  <c r="E47" i="5"/>
  <c r="F82" i="5"/>
  <c r="E148" i="5"/>
  <c r="G26" i="5"/>
  <c r="A21" i="5"/>
  <c r="G106" i="5"/>
  <c r="C68" i="5"/>
  <c r="G86" i="5"/>
  <c r="E33" i="5"/>
  <c r="F85" i="5"/>
  <c r="C53" i="5"/>
  <c r="H22" i="5"/>
  <c r="B95" i="5"/>
  <c r="C54" i="5"/>
  <c r="C15" i="5"/>
  <c r="D70" i="5"/>
  <c r="C5" i="5"/>
  <c r="C148" i="5"/>
  <c r="G124" i="5"/>
  <c r="E56" i="5"/>
  <c r="C65" i="5"/>
  <c r="C17" i="5"/>
  <c r="E138" i="5"/>
  <c r="F113" i="5"/>
  <c r="E20" i="5"/>
  <c r="D61" i="5"/>
  <c r="C106" i="5"/>
  <c r="D114" i="5"/>
  <c r="A26" i="5"/>
  <c r="D51" i="5"/>
  <c r="E81" i="5"/>
  <c r="C37" i="5"/>
  <c r="D90" i="5"/>
  <c r="C40" i="5"/>
  <c r="H8" i="5"/>
  <c r="E35" i="5"/>
  <c r="C122" i="5"/>
  <c r="A134" i="5"/>
  <c r="H49" i="5"/>
  <c r="F92" i="5"/>
  <c r="C123" i="5"/>
  <c r="A81" i="5"/>
  <c r="G149" i="5"/>
  <c r="G18" i="5"/>
  <c r="F37" i="5"/>
  <c r="B38" i="5"/>
  <c r="C74" i="5"/>
  <c r="E37" i="5"/>
  <c r="H41" i="5"/>
  <c r="G115" i="5"/>
  <c r="G38" i="5"/>
  <c r="F4" i="5"/>
  <c r="B23" i="5"/>
  <c r="H99" i="5"/>
  <c r="B16" i="5"/>
  <c r="F8" i="5"/>
  <c r="C76" i="5"/>
  <c r="C153" i="5"/>
  <c r="H18" i="5"/>
  <c r="H63" i="5"/>
  <c r="D137" i="5"/>
  <c r="H13" i="5"/>
  <c r="G102" i="5"/>
  <c r="C151" i="5"/>
  <c r="E132" i="5"/>
  <c r="E131" i="5"/>
  <c r="D68" i="5"/>
  <c r="A61" i="5"/>
  <c r="C102" i="5"/>
  <c r="G114" i="5"/>
  <c r="E122" i="5"/>
  <c r="G77" i="5"/>
  <c r="F102" i="5"/>
  <c r="E85" i="5"/>
  <c r="F12" i="5"/>
  <c r="B47" i="5"/>
  <c r="G117" i="5"/>
  <c r="A56" i="5"/>
  <c r="D69" i="5"/>
  <c r="B55" i="5"/>
  <c r="A27" i="5"/>
  <c r="E24" i="5"/>
  <c r="C138" i="5"/>
  <c r="G16" i="5"/>
  <c r="D41" i="5"/>
  <c r="F66" i="5"/>
  <c r="H119" i="5"/>
  <c r="G108" i="5"/>
  <c r="A99" i="5"/>
  <c r="F6" i="5"/>
  <c r="E127" i="5"/>
  <c r="H127" i="5"/>
  <c r="D140" i="5"/>
  <c r="D30" i="5"/>
  <c r="B78" i="5"/>
  <c r="G84" i="5"/>
  <c r="D36" i="5"/>
  <c r="E123" i="5"/>
  <c r="A65" i="5"/>
  <c r="E135" i="5"/>
  <c r="C27" i="5"/>
  <c r="F36" i="5"/>
  <c r="E54" i="5"/>
  <c r="H102" i="5"/>
  <c r="F135" i="5"/>
  <c r="F51" i="5"/>
  <c r="D92" i="5"/>
  <c r="G62" i="5"/>
  <c r="G82" i="5"/>
  <c r="G101" i="5"/>
  <c r="A77" i="5"/>
  <c r="E137" i="5"/>
  <c r="F116" i="5"/>
  <c r="A91" i="5"/>
  <c r="B60" i="5"/>
  <c r="H15" i="5"/>
  <c r="E141" i="5"/>
  <c r="D21" i="5"/>
  <c r="H44" i="5"/>
  <c r="C66" i="5"/>
  <c r="D126" i="5"/>
  <c r="G67" i="5"/>
  <c r="B117" i="5"/>
  <c r="B90" i="5"/>
  <c r="C14" i="5"/>
  <c r="B18" i="5"/>
  <c r="F93" i="5"/>
  <c r="F150" i="5"/>
  <c r="G145" i="5"/>
  <c r="D23" i="5"/>
  <c r="B67" i="5"/>
  <c r="C91" i="5"/>
  <c r="E78" i="5"/>
  <c r="H110" i="5"/>
  <c r="C126" i="5"/>
  <c r="F153" i="5"/>
  <c r="F145" i="5"/>
  <c r="H6" i="5"/>
  <c r="F70" i="5"/>
  <c r="B134" i="5"/>
  <c r="F99" i="5"/>
  <c r="D128" i="5"/>
  <c r="G98" i="5"/>
  <c r="D103" i="5"/>
  <c r="C31" i="5"/>
  <c r="C89" i="5"/>
  <c r="H118" i="5"/>
  <c r="D127" i="5"/>
  <c r="G61" i="5"/>
  <c r="B59" i="5"/>
  <c r="A24" i="5"/>
  <c r="G91" i="5"/>
  <c r="E38" i="5"/>
  <c r="G42" i="5"/>
  <c r="D93" i="5"/>
  <c r="C152" i="5"/>
  <c r="G146" i="5"/>
  <c r="D98" i="5"/>
  <c r="B80" i="5"/>
  <c r="G12" i="5"/>
  <c r="B81" i="5"/>
  <c r="B87" i="5"/>
  <c r="G80" i="5"/>
  <c r="A83" i="5"/>
  <c r="C137" i="5"/>
  <c r="E125" i="5"/>
  <c r="E70" i="5"/>
  <c r="B96" i="5"/>
  <c r="D83" i="5"/>
  <c r="F55" i="5"/>
  <c r="A121" i="5"/>
  <c r="G89" i="5"/>
  <c r="C28" i="5"/>
  <c r="B110" i="5"/>
  <c r="D132" i="5"/>
  <c r="E71" i="5"/>
  <c r="E107" i="5"/>
  <c r="B130" i="5"/>
  <c r="H71" i="5"/>
  <c r="D145" i="5"/>
  <c r="A62" i="5"/>
  <c r="F40" i="5"/>
  <c r="E5" i="5"/>
  <c r="E58" i="5"/>
  <c r="G100" i="5"/>
  <c r="C82" i="5"/>
  <c r="E104" i="5"/>
  <c r="A63" i="5"/>
  <c r="B121" i="5"/>
  <c r="A19" i="5"/>
  <c r="F152" i="5"/>
  <c r="A142" i="5"/>
  <c r="C71" i="5"/>
  <c r="B140" i="5"/>
  <c r="A96" i="5"/>
  <c r="B69" i="5"/>
  <c r="H19" i="5"/>
  <c r="G118" i="5"/>
  <c r="D152" i="5"/>
  <c r="C86" i="5"/>
  <c r="A87" i="5"/>
  <c r="C11" i="5"/>
  <c r="H28" i="5"/>
  <c r="C107" i="5"/>
  <c r="G130" i="5"/>
  <c r="E41" i="5"/>
  <c r="C80" i="5"/>
  <c r="E147" i="5"/>
  <c r="C21" i="5"/>
  <c r="B71" i="5"/>
  <c r="G46" i="5"/>
  <c r="C129" i="5"/>
  <c r="B42" i="5"/>
  <c r="A147" i="5"/>
  <c r="D110" i="5"/>
  <c r="H46" i="5"/>
  <c r="D73" i="5"/>
  <c r="G109" i="5"/>
  <c r="B118" i="5"/>
  <c r="G54" i="5"/>
  <c r="C130" i="5"/>
  <c r="B133" i="5"/>
  <c r="E101" i="5"/>
  <c r="B107" i="5"/>
  <c r="H16" i="5"/>
  <c r="C67" i="5"/>
  <c r="D102" i="5"/>
  <c r="C134" i="5"/>
  <c r="C110" i="5"/>
  <c r="B114" i="5"/>
  <c r="E43" i="5"/>
  <c r="B109" i="5"/>
  <c r="B108" i="5"/>
  <c r="E111" i="5"/>
  <c r="H137" i="5"/>
  <c r="E19" i="5"/>
  <c r="G68" i="5"/>
  <c r="A141" i="5"/>
  <c r="B6" i="5"/>
  <c r="C57" i="5"/>
  <c r="B131" i="5"/>
  <c r="C29" i="5"/>
  <c r="E126" i="5"/>
  <c r="E73" i="5"/>
  <c r="H79" i="5"/>
  <c r="B92" i="5"/>
  <c r="A6" i="5"/>
  <c r="A36" i="5"/>
  <c r="H54" i="5"/>
  <c r="B50" i="5"/>
  <c r="D32" i="5"/>
  <c r="G73" i="5"/>
  <c r="G55" i="5"/>
  <c r="E98" i="5"/>
  <c r="F22" i="5"/>
  <c r="D146" i="5"/>
  <c r="A148" i="5"/>
  <c r="E63" i="5"/>
  <c r="E28" i="5"/>
  <c r="F149" i="5"/>
  <c r="B37" i="5"/>
  <c r="D17" i="5"/>
  <c r="A86" i="5"/>
  <c r="F65" i="5"/>
  <c r="H116" i="5"/>
  <c r="A64" i="5"/>
  <c r="B112" i="5"/>
  <c r="A79" i="5"/>
  <c r="C112" i="5"/>
  <c r="G27" i="5"/>
  <c r="B138" i="5"/>
  <c r="E69" i="5"/>
  <c r="A44" i="5"/>
  <c r="D135" i="5"/>
  <c r="H141" i="5"/>
  <c r="A14" i="5"/>
  <c r="G96" i="5"/>
  <c r="A94" i="5"/>
  <c r="B36" i="5"/>
  <c r="B45" i="5"/>
  <c r="H144" i="5"/>
  <c r="G88" i="5"/>
  <c r="H98" i="5"/>
  <c r="C84" i="5"/>
  <c r="E112" i="5"/>
  <c r="C98" i="5"/>
  <c r="H103" i="5"/>
  <c r="D147" i="5"/>
  <c r="C142" i="5"/>
  <c r="F112" i="5"/>
  <c r="H25" i="5"/>
  <c r="F137" i="5"/>
  <c r="A97" i="5"/>
  <c r="B20" i="5"/>
  <c r="A152" i="5"/>
  <c r="A132" i="5"/>
  <c r="B85" i="5"/>
  <c r="A116" i="5"/>
  <c r="G87" i="5"/>
  <c r="D33" i="5"/>
  <c r="F54" i="5"/>
  <c r="C97" i="5"/>
  <c r="E64" i="5"/>
  <c r="B111" i="5"/>
  <c r="D6" i="5"/>
  <c r="G45" i="5"/>
  <c r="E15" i="5"/>
  <c r="H56" i="5"/>
  <c r="E139" i="5"/>
  <c r="C90" i="5"/>
  <c r="D44" i="5"/>
  <c r="C144" i="5"/>
  <c r="A88" i="5"/>
  <c r="A20" i="5"/>
  <c r="C101" i="5"/>
  <c r="C38" i="5"/>
  <c r="F86" i="5"/>
  <c r="H31" i="5"/>
  <c r="F121" i="5"/>
  <c r="H149" i="5"/>
  <c r="F81" i="5"/>
  <c r="G147" i="5"/>
  <c r="A139" i="5"/>
  <c r="E13" i="5"/>
  <c r="C25" i="5"/>
  <c r="C120" i="5"/>
  <c r="B65" i="5"/>
  <c r="B102" i="5"/>
  <c r="H138" i="5"/>
  <c r="H80" i="5"/>
  <c r="B115" i="5"/>
  <c r="D136" i="5"/>
  <c r="B40" i="5"/>
  <c r="B73" i="5"/>
  <c r="H47" i="5"/>
  <c r="C139" i="5"/>
  <c r="A75" i="5"/>
  <c r="E18" i="5"/>
  <c r="D124" i="5"/>
  <c r="C24" i="5"/>
  <c r="D19" i="5"/>
  <c r="E128" i="5"/>
  <c r="G136" i="5"/>
  <c r="A74" i="5"/>
  <c r="F127" i="5"/>
  <c r="E57" i="5"/>
  <c r="B14" i="5"/>
  <c r="F103" i="5"/>
  <c r="D22" i="5"/>
  <c r="H4" i="5"/>
  <c r="A140" i="5"/>
  <c r="F59" i="5"/>
  <c r="H153" i="5"/>
  <c r="B64" i="5"/>
  <c r="C30" i="5"/>
  <c r="A9" i="5"/>
  <c r="F78" i="5"/>
  <c r="D14" i="5"/>
  <c r="A104" i="5"/>
  <c r="B82" i="5"/>
  <c r="A119" i="5"/>
  <c r="E68" i="5"/>
  <c r="D71" i="5"/>
  <c r="D95" i="5"/>
  <c r="C143" i="5"/>
  <c r="A4" i="5"/>
  <c r="B89" i="5"/>
  <c r="D65" i="5"/>
  <c r="C75" i="5"/>
  <c r="E34" i="5"/>
  <c r="E17" i="5"/>
  <c r="B12" i="5"/>
  <c r="F136" i="5"/>
  <c r="D29" i="5"/>
  <c r="G22" i="5"/>
  <c r="A51" i="5"/>
  <c r="C87" i="5"/>
  <c r="H39" i="5"/>
  <c r="F52" i="5"/>
  <c r="H117" i="5"/>
  <c r="C51" i="5"/>
  <c r="C52" i="5"/>
  <c r="C62" i="5"/>
  <c r="F138" i="5"/>
  <c r="E103" i="5"/>
  <c r="E50" i="5"/>
  <c r="F5" i="5"/>
  <c r="G92" i="5"/>
  <c r="F50" i="5"/>
  <c r="H151" i="5"/>
  <c r="B128" i="5"/>
  <c r="G44" i="5"/>
  <c r="C19" i="5"/>
  <c r="D86" i="5"/>
  <c r="C49" i="5"/>
  <c r="F72" i="5"/>
  <c r="A54" i="5"/>
  <c r="E120" i="5"/>
  <c r="A52" i="5"/>
  <c r="D133" i="5"/>
  <c r="B11" i="5"/>
  <c r="E44" i="5"/>
  <c r="D109" i="5"/>
  <c r="F62" i="5"/>
  <c r="F110" i="5"/>
  <c r="G148" i="5"/>
  <c r="B147" i="5"/>
  <c r="C36" i="5"/>
  <c r="E29" i="5"/>
  <c r="E130" i="5"/>
  <c r="D49" i="5"/>
  <c r="G128" i="5"/>
  <c r="E6" i="5"/>
  <c r="D104" i="5"/>
  <c r="G135" i="5"/>
  <c r="G90" i="5"/>
  <c r="H126" i="5"/>
  <c r="C42" i="5"/>
  <c r="B151" i="5"/>
  <c r="B94" i="5"/>
  <c r="C116" i="5"/>
  <c r="D112" i="5"/>
  <c r="F71" i="5"/>
  <c r="D79" i="5"/>
  <c r="C4" i="5"/>
  <c r="H123" i="5"/>
  <c r="B145" i="5"/>
  <c r="B33" i="5"/>
  <c r="F46" i="5"/>
  <c r="B46" i="5"/>
  <c r="H26" i="5"/>
  <c r="D11" i="5"/>
  <c r="C88" i="5"/>
  <c r="F25" i="5"/>
  <c r="H130" i="5"/>
  <c r="E93" i="5"/>
  <c r="H48" i="5"/>
  <c r="C146" i="5"/>
  <c r="B148" i="5"/>
  <c r="F13" i="5"/>
  <c r="A11" i="5"/>
  <c r="F74" i="5"/>
  <c r="F15" i="5"/>
  <c r="H82" i="5"/>
  <c r="H29" i="5"/>
  <c r="E51" i="5"/>
  <c r="B21" i="5"/>
  <c r="A25" i="5"/>
  <c r="B75" i="5"/>
  <c r="C150" i="5"/>
  <c r="D148" i="5"/>
  <c r="H109" i="5"/>
  <c r="E26" i="5"/>
  <c r="D82" i="5"/>
  <c r="G50" i="5"/>
  <c r="G133" i="5"/>
  <c r="C99" i="5"/>
  <c r="C6" i="5"/>
  <c r="H45" i="5"/>
  <c r="B43" i="5"/>
  <c r="F105" i="5"/>
  <c r="H86" i="5"/>
  <c r="B34" i="5"/>
  <c r="B105" i="5"/>
  <c r="B76" i="5"/>
  <c r="F38" i="5"/>
  <c r="F33" i="5"/>
  <c r="B141" i="5"/>
  <c r="F58" i="5"/>
  <c r="B13" i="5"/>
  <c r="F95" i="5"/>
  <c r="B58" i="5"/>
  <c r="A12" i="5"/>
  <c r="E14" i="5"/>
  <c r="H9" i="5"/>
  <c r="H36" i="5"/>
  <c r="D142" i="5"/>
  <c r="B15" i="5"/>
  <c r="E97" i="5"/>
  <c r="B48" i="5"/>
  <c r="E79" i="5"/>
  <c r="B99" i="5"/>
  <c r="A40" i="5"/>
  <c r="F94" i="5"/>
  <c r="D77" i="5"/>
  <c r="B126" i="5"/>
  <c r="B79" i="5"/>
  <c r="E124" i="5"/>
  <c r="G123" i="5"/>
  <c r="E92" i="5"/>
  <c r="H32" i="5"/>
  <c r="A55" i="5"/>
  <c r="H96" i="5"/>
  <c r="B39" i="5"/>
  <c r="G47" i="5"/>
  <c r="F79" i="5"/>
  <c r="C124" i="5"/>
  <c r="B137" i="5"/>
  <c r="A37" i="5"/>
  <c r="F18" i="5"/>
  <c r="C108" i="5"/>
  <c r="A126" i="5"/>
  <c r="F57" i="5"/>
  <c r="B28" i="5"/>
  <c r="C39" i="5"/>
  <c r="G34" i="5"/>
  <c r="F75" i="5"/>
  <c r="G141" i="5"/>
  <c r="E89" i="5"/>
  <c r="H57" i="5"/>
  <c r="B7" i="5"/>
  <c r="C70" i="5"/>
  <c r="D46" i="5"/>
  <c r="C131" i="5"/>
  <c r="H76" i="5"/>
  <c r="G60" i="5"/>
  <c r="C60" i="5"/>
  <c r="F125" i="5"/>
  <c r="E118" i="5"/>
  <c r="A45" i="5"/>
  <c r="F23" i="5"/>
  <c r="D26" i="5"/>
  <c r="C44" i="5"/>
  <c r="F147" i="5"/>
  <c r="B4" i="5"/>
  <c r="F134" i="5"/>
  <c r="D42" i="5"/>
  <c r="B122" i="5"/>
  <c r="H69" i="5"/>
  <c r="D96" i="5"/>
  <c r="D150" i="5"/>
  <c r="A98" i="5"/>
  <c r="D8" i="5"/>
  <c r="D64" i="5"/>
  <c r="H10" i="5"/>
  <c r="C16" i="5"/>
  <c r="H106" i="5"/>
  <c r="C81" i="5"/>
  <c r="G37" i="5"/>
  <c r="D76" i="5"/>
  <c r="D24" i="5"/>
  <c r="H12" i="5"/>
  <c r="F106" i="5"/>
  <c r="D12" i="5"/>
  <c r="B101" i="5"/>
  <c r="A130" i="5"/>
  <c r="A13" i="5"/>
  <c r="E61" i="5"/>
  <c r="G152" i="5"/>
  <c r="H78" i="5"/>
  <c r="A23" i="5"/>
  <c r="F140" i="5"/>
  <c r="A70" i="5"/>
  <c r="F77" i="5"/>
  <c r="B8" i="5"/>
  <c r="A18" i="5"/>
  <c r="F80" i="5"/>
  <c r="D59" i="5"/>
  <c r="B129" i="5"/>
  <c r="C33" i="5"/>
  <c r="B132" i="5"/>
  <c r="H85" i="5"/>
  <c r="G137" i="5"/>
  <c r="D4" i="5"/>
  <c r="B10" i="5"/>
  <c r="F9" i="5"/>
  <c r="E39" i="5"/>
  <c r="F49" i="5"/>
  <c r="B27" i="5"/>
  <c r="G153" i="5"/>
  <c r="A78" i="5"/>
  <c r="H107" i="5"/>
  <c r="B120" i="5"/>
  <c r="E9" i="5"/>
  <c r="H53" i="5"/>
  <c r="F98" i="5"/>
  <c r="H124" i="5"/>
  <c r="D134" i="5"/>
  <c r="F120" i="5"/>
  <c r="F97" i="5"/>
  <c r="A144" i="5"/>
  <c r="C145" i="5"/>
  <c r="G97" i="5"/>
  <c r="E149" i="5"/>
  <c r="B86" i="5"/>
  <c r="A68" i="5"/>
  <c r="A136" i="5"/>
  <c r="D50" i="5"/>
  <c r="E140" i="5"/>
  <c r="H89" i="5"/>
  <c r="C103" i="5"/>
  <c r="B125" i="5"/>
  <c r="D138" i="5"/>
  <c r="H20" i="5"/>
  <c r="C50" i="5"/>
  <c r="D122" i="5"/>
  <c r="H21" i="5"/>
  <c r="D151" i="5"/>
  <c r="A85" i="5"/>
  <c r="A39" i="5"/>
  <c r="A115" i="5"/>
  <c r="E25" i="5"/>
  <c r="A124" i="5"/>
  <c r="D27" i="5"/>
  <c r="H40" i="5"/>
  <c r="F142" i="5"/>
  <c r="A123" i="5"/>
  <c r="C135" i="5"/>
  <c r="D85" i="5"/>
  <c r="H93" i="5"/>
  <c r="G116" i="5"/>
  <c r="H62" i="5"/>
  <c r="F7" i="5"/>
  <c r="B32" i="5"/>
  <c r="H105" i="5"/>
  <c r="E65" i="5"/>
  <c r="E42" i="5"/>
  <c r="F68" i="5"/>
  <c r="F148" i="5"/>
  <c r="F19" i="5"/>
  <c r="F28" i="5"/>
  <c r="B17" i="5"/>
  <c r="H133" i="5"/>
  <c r="H67" i="5"/>
  <c r="B44" i="5"/>
  <c r="C93" i="5"/>
  <c r="A71" i="5"/>
  <c r="A30" i="5"/>
  <c r="E22" i="5"/>
  <c r="C125" i="5"/>
  <c r="C128" i="5"/>
  <c r="H42" i="5"/>
  <c r="C121" i="5"/>
  <c r="E82" i="5"/>
  <c r="E129" i="5"/>
  <c r="E80" i="5"/>
  <c r="C77" i="5"/>
  <c r="E16" i="5"/>
  <c r="F10" i="5"/>
  <c r="G72" i="5"/>
  <c r="D16" i="5"/>
  <c r="C32" i="5"/>
  <c r="C114" i="5"/>
  <c r="F84" i="5"/>
  <c r="C115" i="5"/>
  <c r="D130" i="5"/>
  <c r="F123" i="5"/>
  <c r="D63" i="5"/>
  <c r="H7" i="5"/>
  <c r="A7" i="5"/>
  <c r="A137" i="5"/>
  <c r="B68" i="5"/>
  <c r="G138" i="5"/>
  <c r="D117" i="5"/>
  <c r="H77" i="5"/>
  <c r="A125" i="5"/>
  <c r="E151" i="5"/>
  <c r="G143" i="5"/>
  <c r="H121" i="5"/>
  <c r="H136" i="5"/>
  <c r="D5" i="5"/>
  <c r="G105" i="5"/>
  <c r="G48" i="5"/>
  <c r="H150" i="5"/>
  <c r="A109" i="5"/>
  <c r="E152" i="5"/>
  <c r="G19" i="5"/>
  <c r="A59" i="5"/>
  <c r="E72" i="5"/>
  <c r="D40" i="5"/>
  <c r="C47" i="5"/>
  <c r="G132" i="5"/>
  <c r="G129" i="5"/>
  <c r="D34" i="5"/>
  <c r="A31" i="5"/>
  <c r="G29" i="5"/>
  <c r="E36" i="5"/>
  <c r="F119" i="5"/>
  <c r="B136" i="5"/>
  <c r="A149" i="5"/>
  <c r="F108" i="5"/>
  <c r="B103" i="5"/>
  <c r="E108" i="5"/>
  <c r="C61" i="5"/>
  <c r="C105" i="5"/>
  <c r="D125" i="5"/>
  <c r="B150" i="5"/>
  <c r="D72" i="5"/>
  <c r="E86" i="5"/>
  <c r="B152" i="5"/>
  <c r="A112" i="5"/>
  <c r="H17" i="5"/>
  <c r="G103" i="5"/>
  <c r="D39" i="5"/>
  <c r="F122" i="5"/>
  <c r="A17" i="5"/>
  <c r="B52" i="5"/>
  <c r="E109" i="5"/>
  <c r="D97" i="5"/>
  <c r="G49" i="5"/>
  <c r="H104" i="5"/>
  <c r="H108" i="5"/>
  <c r="H95" i="5"/>
  <c r="G121" i="5"/>
  <c r="H140" i="5"/>
  <c r="C133" i="5"/>
  <c r="C96" i="5"/>
  <c r="D113" i="5"/>
  <c r="B124" i="5"/>
  <c r="H112" i="5"/>
  <c r="A16" i="5"/>
  <c r="C111" i="5"/>
  <c r="G51" i="5"/>
  <c r="H43" i="5"/>
  <c r="D54" i="5"/>
  <c r="D28" i="5"/>
  <c r="H88" i="5"/>
  <c r="G150" i="5"/>
  <c r="G20" i="5"/>
  <c r="D107" i="5"/>
  <c r="B74" i="5"/>
  <c r="B149" i="5"/>
  <c r="G11" i="5"/>
  <c r="H145" i="5"/>
  <c r="H90" i="5"/>
  <c r="A135" i="5"/>
  <c r="H70" i="5"/>
  <c r="H132" i="5"/>
  <c r="B49" i="5"/>
  <c r="D120" i="5"/>
  <c r="B51" i="5"/>
  <c r="F34" i="5"/>
  <c r="B62" i="5"/>
  <c r="F90" i="5"/>
  <c r="C35" i="5"/>
  <c r="A57" i="5"/>
  <c r="E117" i="5"/>
  <c r="D75" i="5"/>
  <c r="B153" i="5"/>
  <c r="A108" i="5"/>
  <c r="A34" i="5"/>
  <c r="H139" i="5"/>
  <c r="D66" i="5"/>
  <c r="F143" i="5"/>
  <c r="D153" i="5"/>
  <c r="B144" i="5"/>
  <c r="E133" i="5"/>
  <c r="D100" i="5"/>
  <c r="F21" i="5"/>
  <c r="B113" i="5"/>
  <c r="A47" i="5"/>
  <c r="C56" i="5"/>
  <c r="E121" i="5"/>
  <c r="H83" i="5"/>
  <c r="F61" i="5"/>
  <c r="H55" i="5"/>
  <c r="B104" i="5"/>
  <c r="G94" i="5"/>
  <c r="F47" i="5"/>
  <c r="D123" i="5"/>
  <c r="G71" i="5"/>
  <c r="C34" i="5"/>
  <c r="B29" i="5"/>
  <c r="F141" i="5"/>
  <c r="D149" i="5"/>
  <c r="A84" i="5"/>
  <c r="D105" i="5"/>
  <c r="C104" i="5"/>
  <c r="D74" i="5"/>
  <c r="A128" i="5"/>
  <c r="A29" i="5"/>
  <c r="C118" i="5"/>
  <c r="A60" i="5"/>
  <c r="H147" i="5"/>
  <c r="B63" i="5"/>
  <c r="G53" i="5"/>
  <c r="F45" i="5"/>
  <c r="C23" i="5"/>
  <c r="F27" i="5"/>
  <c r="E90" i="5"/>
  <c r="A90" i="5"/>
  <c r="A107" i="5"/>
  <c r="F31" i="5"/>
  <c r="B77" i="5"/>
  <c r="C58" i="5"/>
  <c r="G79" i="5"/>
  <c r="F89" i="5"/>
  <c r="H73" i="5"/>
  <c r="B22" i="5"/>
  <c r="E48" i="5"/>
  <c r="F73" i="5"/>
  <c r="E100" i="5"/>
  <c r="E53" i="5"/>
  <c r="H148" i="5"/>
  <c r="G7" i="5"/>
  <c r="A122" i="5"/>
  <c r="A8" i="5"/>
  <c r="B41" i="5"/>
  <c r="F124" i="5"/>
  <c r="H66" i="5"/>
  <c r="E67" i="5"/>
  <c r="F56" i="5"/>
  <c r="C9" i="5"/>
  <c r="G65" i="5"/>
  <c r="G30" i="5"/>
  <c r="D121" i="5"/>
  <c r="B97" i="5"/>
  <c r="H64" i="5"/>
  <c r="F69" i="5"/>
  <c r="F130" i="5"/>
  <c r="F96" i="5"/>
  <c r="H94" i="5"/>
  <c r="D88" i="5"/>
  <c r="B119" i="5"/>
  <c r="G93" i="5"/>
  <c r="H24" i="5"/>
  <c r="F11" i="5"/>
  <c r="A117" i="5"/>
  <c r="G78" i="5"/>
  <c r="G32" i="5"/>
  <c r="C78" i="5"/>
  <c r="H65" i="5"/>
  <c r="G10" i="5"/>
  <c r="A143" i="5"/>
  <c r="E30" i="5"/>
  <c r="F64" i="5"/>
  <c r="B127" i="5"/>
  <c r="D15" i="5"/>
  <c r="D131" i="5"/>
  <c r="E153" i="5"/>
  <c r="F30" i="5"/>
  <c r="G104" i="5"/>
  <c r="D25" i="5"/>
  <c r="G43" i="5"/>
  <c r="A10" i="5"/>
  <c r="G5" i="5"/>
  <c r="E7" i="5"/>
  <c r="G122" i="5"/>
  <c r="E143" i="5"/>
  <c r="A110" i="5"/>
  <c r="D106" i="5"/>
  <c r="E4" i="5"/>
  <c r="C12" i="5"/>
  <c r="A49" i="5"/>
  <c r="C45" i="5"/>
  <c r="E49" i="5"/>
  <c r="A127" i="5"/>
  <c r="D55" i="5"/>
  <c r="A33" i="5"/>
  <c r="D89" i="5"/>
  <c r="A93" i="5"/>
  <c r="H27" i="5"/>
  <c r="C85" i="5"/>
  <c r="E87" i="5"/>
  <c r="G17" i="5"/>
  <c r="G57" i="5"/>
  <c r="E11" i="5"/>
  <c r="D18" i="5"/>
  <c r="E23" i="5"/>
  <c r="F151" i="5"/>
  <c r="G139" i="5"/>
  <c r="E115" i="5"/>
  <c r="E88" i="5"/>
  <c r="E10" i="5"/>
  <c r="G120" i="5"/>
  <c r="D81" i="5"/>
  <c r="A95" i="5"/>
  <c r="D20" i="5"/>
  <c r="A133" i="5"/>
  <c r="G15" i="5"/>
  <c r="F100" i="5"/>
  <c r="D31" i="5"/>
  <c r="D99" i="5"/>
  <c r="B135" i="5"/>
  <c r="C43" i="5"/>
  <c r="D118" i="5"/>
  <c r="G134" i="5"/>
  <c r="D13" i="5"/>
  <c r="F114" i="5"/>
  <c r="A69" i="5"/>
  <c r="D10" i="5"/>
  <c r="C140" i="5"/>
  <c r="F24" i="5"/>
  <c r="D52" i="5"/>
  <c r="G9" i="5"/>
  <c r="B66" i="5"/>
  <c r="A105" i="5"/>
  <c r="G110" i="5"/>
  <c r="H114" i="5"/>
  <c r="B57" i="5"/>
  <c r="H100" i="5"/>
  <c r="F132" i="5"/>
  <c r="E146" i="5"/>
  <c r="D43" i="5"/>
  <c r="B116" i="5"/>
  <c r="G111" i="5"/>
  <c r="F43" i="5"/>
  <c r="G74" i="5"/>
  <c r="H125" i="5"/>
  <c r="H51" i="5"/>
  <c r="F48" i="5"/>
  <c r="H101" i="5"/>
  <c r="H33" i="5"/>
  <c r="F144" i="5"/>
  <c r="E110" i="5"/>
  <c r="H37" i="5"/>
  <c r="G36" i="5"/>
  <c r="E106" i="5"/>
  <c r="H5" i="5"/>
  <c r="D48" i="5"/>
  <c r="H113" i="5"/>
  <c r="E74" i="5"/>
  <c r="F44" i="5"/>
  <c r="B25" i="5"/>
  <c r="H131" i="5"/>
  <c r="G13" i="5"/>
  <c r="C10" i="5"/>
  <c r="F60" i="5"/>
  <c r="C26" i="5"/>
  <c r="E62" i="5"/>
  <c r="F107" i="5"/>
  <c r="A102" i="5"/>
  <c r="D129" i="5"/>
  <c r="F88" i="5"/>
  <c r="G6" i="5"/>
  <c r="D80" i="5"/>
  <c r="E66" i="5"/>
  <c r="E8" i="5"/>
  <c r="G112" i="5"/>
  <c r="B26" i="5"/>
  <c r="B98" i="5"/>
  <c r="A15" i="5"/>
  <c r="G142" i="5"/>
  <c r="G56" i="5"/>
  <c r="F128" i="5"/>
  <c r="E32" i="5"/>
  <c r="E95" i="5"/>
  <c r="B61" i="5"/>
  <c r="C8" i="5"/>
  <c r="E83" i="5"/>
  <c r="A43" i="5"/>
  <c r="G126" i="5"/>
  <c r="G35" i="5"/>
  <c r="E142" i="5"/>
  <c r="E52" i="5"/>
  <c r="G64" i="5"/>
  <c r="E116" i="5"/>
  <c r="G70" i="5"/>
  <c r="G40" i="5"/>
  <c r="C7" i="5"/>
  <c r="G76" i="5"/>
  <c r="A48" i="5"/>
  <c r="F41" i="5"/>
  <c r="H120" i="5"/>
  <c r="E91" i="5"/>
  <c r="A42" i="5"/>
  <c r="E84" i="5"/>
  <c r="A76" i="5"/>
  <c r="F118" i="5"/>
  <c r="F111" i="5"/>
  <c r="E60" i="5"/>
  <c r="A5" i="5"/>
  <c r="E136" i="5"/>
  <c r="H122" i="5"/>
  <c r="G144" i="5"/>
  <c r="D143" i="5"/>
  <c r="F115" i="5"/>
  <c r="H58" i="5"/>
  <c r="H143" i="5"/>
  <c r="F126" i="5"/>
  <c r="H152" i="5"/>
  <c r="C83" i="5"/>
  <c r="E150" i="5"/>
  <c r="A138" i="5"/>
  <c r="B100" i="5"/>
  <c r="G4" i="5"/>
  <c r="F20" i="5"/>
  <c r="B56" i="5"/>
  <c r="G85" i="5"/>
  <c r="F32" i="5"/>
  <c r="A41" i="5"/>
  <c r="G69" i="5"/>
  <c r="D7" i="5"/>
  <c r="C119" i="5"/>
  <c r="F129" i="5"/>
  <c r="G75" i="5"/>
  <c r="C117" i="5"/>
  <c r="C141" i="5"/>
  <c r="B93" i="5"/>
  <c r="E99" i="5"/>
  <c r="B142" i="5"/>
  <c r="F131" i="5"/>
  <c r="A82" i="5"/>
  <c r="A111" i="5"/>
  <c r="H23" i="5"/>
  <c r="A46" i="5"/>
  <c r="G25" i="5"/>
  <c r="B83" i="5"/>
  <c r="E59" i="5"/>
  <c r="H111" i="5"/>
  <c r="G81" i="5"/>
  <c r="B19" i="5"/>
  <c r="H72" i="5"/>
  <c r="C13" i="5"/>
  <c r="A67" i="5"/>
  <c r="D141" i="5"/>
  <c r="G113" i="5"/>
  <c r="F63" i="5"/>
  <c r="A106" i="5"/>
  <c r="B146" i="5"/>
  <c r="C132" i="5"/>
  <c r="H60" i="5"/>
  <c r="H84" i="5"/>
  <c r="C72" i="5"/>
  <c r="B91" i="5"/>
  <c r="E31" i="5"/>
  <c r="C59" i="5"/>
  <c r="C127" i="5"/>
  <c r="B31" i="5"/>
  <c r="B30" i="5"/>
  <c r="D53" i="5"/>
  <c r="A72" i="5"/>
  <c r="A101" i="5"/>
  <c r="D115" i="5"/>
  <c r="C46" i="5"/>
  <c r="G39" i="5"/>
  <c r="G21" i="5"/>
  <c r="F14" i="5"/>
  <c r="H81" i="5"/>
  <c r="A103" i="5"/>
  <c r="G119" i="5"/>
  <c r="H91" i="5"/>
  <c r="C55" i="5"/>
  <c r="B72" i="5"/>
  <c r="A145" i="5"/>
  <c r="E134" i="5"/>
  <c r="H146" i="5"/>
  <c r="A114" i="5"/>
  <c r="A35" i="5"/>
  <c r="B24" i="5"/>
  <c r="G125" i="5"/>
  <c r="E76" i="5"/>
  <c r="F76" i="5"/>
  <c r="D91" i="5"/>
  <c r="G41" i="5"/>
  <c r="E46" i="5"/>
  <c r="H75" i="5"/>
  <c r="G131" i="5"/>
  <c r="E27" i="5"/>
  <c r="D84" i="5"/>
  <c r="D9" i="5"/>
  <c r="G99" i="5"/>
  <c r="H97" i="5"/>
  <c r="D45" i="5"/>
  <c r="A53" i="5"/>
  <c r="A131" i="5"/>
  <c r="F91" i="5"/>
  <c r="F35" i="5"/>
  <c r="B84" i="5"/>
  <c r="E94" i="5"/>
  <c r="C48" i="5"/>
  <c r="H30" i="5"/>
  <c r="F39" i="5"/>
  <c r="H134" i="5"/>
  <c r="F42" i="5"/>
  <c r="A58" i="5"/>
  <c r="F29" i="5"/>
  <c r="D47" i="5"/>
  <c r="H11" i="5"/>
  <c r="F104" i="5"/>
  <c r="C149" i="5"/>
  <c r="D35" i="5"/>
  <c r="F117" i="5"/>
  <c r="E40" i="5"/>
  <c r="E12" i="5"/>
  <c r="E77" i="5"/>
  <c r="C136" i="5"/>
  <c r="F53" i="5"/>
  <c r="H61" i="5"/>
  <c r="E75" i="5"/>
  <c r="D94" i="5"/>
  <c r="D58" i="5"/>
  <c r="B123" i="5"/>
  <c r="D67" i="5"/>
  <c r="F83" i="5"/>
  <c r="G151" i="5"/>
  <c r="E55" i="5"/>
  <c r="E105" i="5"/>
  <c r="A100" i="5"/>
  <c r="G31" i="5"/>
  <c r="A118" i="5"/>
  <c r="G107" i="5"/>
  <c r="G24" i="5"/>
  <c r="A146" i="5"/>
  <c r="G66" i="5"/>
  <c r="F101" i="5"/>
  <c r="A28" i="5"/>
  <c r="B106" i="5"/>
  <c r="D38" i="5"/>
  <c r="A66" i="5"/>
  <c r="F67" i="5"/>
  <c r="A151" i="5"/>
  <c r="H59" i="5"/>
  <c r="C79" i="5"/>
  <c r="C95" i="5"/>
  <c r="H115" i="5"/>
  <c r="H35" i="5"/>
  <c r="C20" i="5"/>
  <c r="G140" i="5"/>
  <c r="D56" i="5"/>
  <c r="C18" i="5"/>
  <c r="B5" i="5"/>
  <c r="A113" i="5"/>
  <c r="A38" i="5"/>
  <c r="G59" i="5"/>
  <c r="C147" i="5"/>
  <c r="H50" i="5"/>
  <c r="F146" i="5"/>
  <c r="E45" i="5"/>
  <c r="A129" i="5"/>
  <c r="F17" i="5"/>
  <c r="G8" i="5"/>
  <c r="C41" i="5"/>
  <c r="D37" i="5"/>
  <c r="H142" i="5"/>
  <c r="F109" i="5"/>
  <c r="D57" i="5"/>
  <c r="C100" i="5"/>
  <c r="G63" i="5"/>
  <c r="D62" i="5"/>
  <c r="C64" i="5"/>
  <c r="C92" i="5"/>
  <c r="C63" i="5"/>
  <c r="C73" i="5"/>
  <c r="F133" i="5"/>
  <c r="G58" i="5"/>
  <c r="E113" i="5"/>
  <c r="B53" i="5"/>
  <c r="B88" i="5"/>
  <c r="H129" i="5"/>
  <c r="H14" i="5"/>
  <c r="A50" i="5"/>
  <c r="A92" i="5"/>
  <c r="D139" i="5"/>
  <c r="A153" i="5"/>
  <c r="C109" i="5"/>
  <c r="D119" i="5"/>
  <c r="F139" i="5"/>
  <c r="H87" i="5"/>
  <c r="H92" i="5"/>
</calcChain>
</file>

<file path=xl/sharedStrings.xml><?xml version="1.0" encoding="utf-8"?>
<sst xmlns="http://schemas.openxmlformats.org/spreadsheetml/2006/main" count="230" uniqueCount="104">
  <si>
    <t>REGISTRO DE VISITAS A TERRENO</t>
  </si>
  <si>
    <t>N° Acta</t>
  </si>
  <si>
    <t>Fecha Visita</t>
  </si>
  <si>
    <t>N° Obs. levantadas</t>
  </si>
  <si>
    <t>N° Obs. pendientes</t>
  </si>
  <si>
    <t>N° Consultas</t>
  </si>
  <si>
    <t>Observaciones Generales</t>
  </si>
  <si>
    <t>Visita con dpto de Ingenieria. Verificaciones con Claudio Rojas.</t>
  </si>
  <si>
    <t>Visita semanal con Calidad de SS.II.</t>
  </si>
  <si>
    <t>RGISTRO DE OBSERVACIONES</t>
  </si>
  <si>
    <t>N° Obs</t>
  </si>
  <si>
    <t>Fecha Detección</t>
  </si>
  <si>
    <t>N° Acta Visita</t>
  </si>
  <si>
    <t>Tablero</t>
  </si>
  <si>
    <t>Descripción de la Observación / Consulta</t>
  </si>
  <si>
    <t>Clasificación</t>
  </si>
  <si>
    <t>Fecha Compromiso</t>
  </si>
  <si>
    <t>Estado</t>
  </si>
  <si>
    <t>Fecha Cierre</t>
  </si>
  <si>
    <t>Observación</t>
  </si>
  <si>
    <t>Días Abierta</t>
  </si>
  <si>
    <t>AUX_OK_NO_MODIFICAR</t>
  </si>
  <si>
    <t>20260722-001</t>
  </si>
  <si>
    <t>General/Varios</t>
  </si>
  <si>
    <t>Puertas interiores de los tableros estan desaplomadas, verificar cuando se torqueen los frame</t>
  </si>
  <si>
    <t>Obs. Menor</t>
  </si>
  <si>
    <t>OK</t>
  </si>
  <si>
    <t>Se mejoró el aplomo al apretar/torquear modulos.</t>
  </si>
  <si>
    <t>Las marquillas de cables actualmente identifican el con nombre de cto; deberían identificar el tag del componente.</t>
  </si>
  <si>
    <t>Se solicito a CMF usar TAG de componente</t>
  </si>
  <si>
    <t>20260730-003</t>
  </si>
  <si>
    <t>CLIMA_A / CLIMA_B</t>
  </si>
  <si>
    <t>Pintura raspada en soporte de INT cubiculo 02</t>
  </si>
  <si>
    <t>Golilla de pernos en barra de distribucion mal instaladas, El estriado esta invertido, debe quedar hacia la cabeza del perno o tuerca pero no al terminal</t>
  </si>
  <si>
    <t>Obs. Mayor</t>
  </si>
  <si>
    <t>Conexion de int miniatura deficiente, el terminal debe quedar completamente insertado</t>
  </si>
  <si>
    <t>Re-conectar chicotes desde barra schneider a int miniatura, actualmente tienen hilos expuestos, deben quedar completamente insertados</t>
  </si>
  <si>
    <t>Re-peinar cables de neutro en barra schneider, deben quedar con holgura minima y no tensos</t>
  </si>
  <si>
    <t>Rotular correctamente barra schneider, tiene marca de rotulos en orden invertido</t>
  </si>
  <si>
    <t>Cambiar ferrules con aislacion quebrada. Actualmente hay conexiones a int miniatura con ferrul quebrado</t>
  </si>
  <si>
    <t>Cables de potencia (RZ!-K) con distintos piquetes/raspaduras, por el momento menores. Se debe mejorar manejo del cable</t>
  </si>
  <si>
    <t>REGISTRO DE CONSULTAS, VERIFICACIONES Y SUGERENCIAS</t>
  </si>
  <si>
    <t>N°</t>
  </si>
  <si>
    <t>Remite a</t>
  </si>
  <si>
    <t>Respuesta</t>
  </si>
  <si>
    <t>Consultar si ingreso/salida de cables es por la parte superior para todos los tableros</t>
  </si>
  <si>
    <t>Consulta</t>
  </si>
  <si>
    <t>CSE_ING</t>
  </si>
  <si>
    <t>R</t>
  </si>
  <si>
    <t>El ingreso es por la parte superior</t>
  </si>
  <si>
    <t>CLIMA_B</t>
  </si>
  <si>
    <t>Consultar si se puede quitar el prepicado del soporte de INT que se conectan con fleje</t>
  </si>
  <si>
    <t>S.E.</t>
  </si>
  <si>
    <t>Se deben quitar para no estorbar paso de fleje</t>
  </si>
  <si>
    <t>Verificar si los cubrepolos/falsopolo en el BOM son chicos o grandes</t>
  </si>
  <si>
    <t>Verificación</t>
  </si>
  <si>
    <t>CSE_IND</t>
  </si>
  <si>
    <t>Las referencias del BOM corresponden a los cubrepolos pequeños</t>
  </si>
  <si>
    <t>Cuando se instalen los TC en las barras, verificar que se utilice el perno accesorio y no con amarracables</t>
  </si>
  <si>
    <t>Sugerencia</t>
  </si>
  <si>
    <t>—</t>
  </si>
  <si>
    <t>i</t>
  </si>
  <si>
    <t>Consultar si es que la alimentacion de los ctos de alumbrado del tablero se puede conectar aguas arriba del int general, y repartir tipo girnalda a los demás cubiculos</t>
  </si>
  <si>
    <t>P</t>
  </si>
  <si>
    <t>Consultar si el control de MICROLOGIC se deja a la vista (quitar prepicado) y usar cubrepolos grandes (ref OBS-003)</t>
  </si>
  <si>
    <t>Consultar si se usará canastillo para canalizar cables de subalimentadores</t>
  </si>
  <si>
    <t>Verificar cómo estan crimpando terminales de compresion</t>
  </si>
  <si>
    <t>INTEG.</t>
  </si>
  <si>
    <t>Crimpado con prensa hidraulica, aislado con cinta y termoretractil</t>
  </si>
  <si>
    <t>Los cáncamos de izaje traen un tapon de goma, se solicito guardarlos para instalar en sitio</t>
  </si>
  <si>
    <t>Los tapones quedaron guardados en bodega CMF</t>
  </si>
  <si>
    <t>Definir montaje de barra de tierra.</t>
  </si>
  <si>
    <t>Schneider indica que la barra de tierra se ubica según requerimiento de cada tablero</t>
  </si>
  <si>
    <t>Consultar con alternativa de bajar 01M ubicación de INT principal para ganar espacio superior</t>
  </si>
  <si>
    <t>20260727-002</t>
  </si>
  <si>
    <t>Consultar de dónde se alimentarán ctos de control</t>
  </si>
  <si>
    <t>Los ctos de control deben ser alimentados desde borneras, ya que deberian ser alimentados desde una UPS</t>
  </si>
  <si>
    <t>BUS_A / BUS_B</t>
  </si>
  <si>
    <t>Consultar dimensiones de barra dist que queda aguas abajo del INT principal de 3200A, según modelo de SCH es de 100x10</t>
  </si>
  <si>
    <t>Schneider corroboro que son de 100x10</t>
  </si>
  <si>
    <t>Consultar IEC orden de fases obligatoria, ya que hay un INT que se monta invertido respecto a los demas.</t>
  </si>
  <si>
    <t>IEC</t>
  </si>
  <si>
    <t>ITO Calidad sugiere quitar prepicado que queda sobre ajuste de interruptores</t>
  </si>
  <si>
    <t>Segunda vez que se sugiere esto, la primera fue INFO-006, realizada por personal de CxA</t>
  </si>
  <si>
    <t>RESUMEN DE OBSERVACIONES SUBSANADAS</t>
  </si>
  <si>
    <t>Descripción</t>
  </si>
  <si>
    <t>Observación de Cierre</t>
  </si>
  <si>
    <t>Total subsanadas:</t>
  </si>
  <si>
    <t>Visita con personal de CxA.</t>
  </si>
  <si>
    <t>Visita con personal de comisionamiento, se realizaron obs. y sugerencias.</t>
  </si>
  <si>
    <t>20260730-004</t>
  </si>
  <si>
    <t>Para los interruptores de 1250A se suguiere considerar colas de barra para mejorar acceso de cables. Barra de INT inferior debe ser mas larga y con soporte a frame.</t>
  </si>
  <si>
    <t>Todas las barras horizontales que requieren uniones deben estar alineadas verticalmente, con superficie horizontal continua.</t>
  </si>
  <si>
    <t>Consultar con Edmundo si la disposicion de las uniones de barras en L deben quedar con pestañas hacia afuera o no.</t>
  </si>
  <si>
    <t>Se sugiere instalar mica aislante entre barra repartidora y rejilla de soporte</t>
  </si>
  <si>
    <t>Definir quien realizará los rotulos de los tableros</t>
  </si>
  <si>
    <t>Cambiar o añadir nombre de componentes mas acotado para lograr calzar en componentes.</t>
  </si>
  <si>
    <t>Pernos utilizados para union de barras deben ser todos iguales (largo, diametro, caracteristicas en gral). Actualmente hay pernosde diferente longitud.</t>
  </si>
  <si>
    <t>Coordinar visita a taller con Claudio Rojas, Sebastián Fernández y equipo de CxA para verificar dudas y definir alcances</t>
  </si>
  <si>
    <t>La instalacion de ferrules debe ser cubriendo todo el cobre y llenando todo el terminal, para lo cual debe estar bien pelado y crimpado. Actualmente hay cables que no cubren todo el terminal</t>
  </si>
  <si>
    <t>Para entrega de tablero al terminar construccion, considerar evidencia de cierre de puertas, accion de manillas, aplome.</t>
  </si>
  <si>
    <t>En la union de barras, se debe cumplir que la seccion de contacto efectiva (descontando orificios) debe ser almenos 1,5 veces la seccion transversal de la barra. Actualmente no se cumple. Además, debido a la perforacion, se deformo el canto de la barra, perdiendo capacidad termica y de transporte</t>
  </si>
  <si>
    <t>Obs. Crítica</t>
  </si>
  <si>
    <t>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</si>
</sst>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x14ac:knownFonts="1">
    <font>
      <sz val="11"/>
      <color theme="1"/>
      <name val="Calibri"/>
      <family val="2"/>
      <charset val="1"/>
    </font>
    <font>
      <sz val="10"/>
      <name val="Arial"/>
      <charset val="1"/>
    </font>
    <font>
      <b/>
      <sz val="10"/>
      <color rgb="FFFFFFFF"/>
      <name val="Arial"/>
      <charset val="1"/>
    </font>
    <font>
      <i/>
      <sz val="8"/>
      <color rgb="FFBFBFBF"/>
      <name val="Arial"/>
      <charset val="1"/>
    </font>
    <font>
      <b/>
      <sz val="15"/>
      <color rgb="FF1F4E78"/>
      <name val="Arial"/>
      <charset val="1"/>
    </font>
    <font>
      <sz val="10"/>
      <color rgb="FF0000FF"/>
      <name val="Arial"/>
      <family val="2"/>
    </font>
    <font>
      <sz val="11"/>
      <color rgb="FF0000FF"/>
      <name val="Calibri"/>
      <family val="2"/>
      <charset val="1"/>
    </font>
    <font>
      <b/>
      <sz val="10"/>
      <color rgb="FFFFFFFF"/>
      <name val="Arial"/>
      <family val="2"/>
    </font>
    <font>
      <sz val="10"/>
      <name val="Arial"/>
      <family val="2"/>
    </font>
    <font>
      <b/>
      <sz val="11"/>
      <color rgb="FF000000"/>
      <name val="Arial"/>
      <family val="2"/>
    </font>
    <font>
      <sz val="11"/>
      <name val="Calibri"/>
      <family val="2"/>
      <charset val="1"/>
    </font>
    <font>
      <b/>
      <sz val="10"/>
      <color theme="0"/>
      <name val="Arial"/>
      <family val="2"/>
    </font>
    <font>
      <sz val="8"/>
      <name val="Calibri"/>
      <family val="2"/>
      <charset val="1"/>
    </font>
    <font>
      <b/>
      <sz val="18"/>
      <color rgb="FF1F4E78"/>
      <name val="Calibri"/>
      <family val="2"/>
    </font>
    <font>
      <b/>
      <sz val="16"/>
      <color rgb="FF1F4E78"/>
      <name val="Calibri"/>
      <family val="2"/>
    </font>
  </fonts>
  <fills count="8">
    <fill>
      <patternFill patternType="none"/>
    </fill>
    <fill>
      <patternFill patternType="gray125"/>
    </fill>
    <fill>
      <patternFill patternType="solid">
        <fgColor rgb="FFFFF2CC"/>
        <bgColor rgb="FFFFEB9C"/>
      </patternFill>
    </fill>
    <fill>
      <patternFill patternType="solid">
        <fgColor rgb="FF1F4E78"/>
        <bgColor rgb="FF003366"/>
      </patternFill>
    </fill>
    <fill>
      <patternFill patternType="solid">
        <fgColor rgb="FFE2F0D9"/>
        <bgColor indexed="64"/>
      </patternFill>
    </fill>
    <fill>
      <patternFill patternType="solid">
        <fgColor theme="0"/>
        <bgColor rgb="FFFFEB9C"/>
      </patternFill>
    </fill>
    <fill>
      <patternFill patternType="solid">
        <fgColor theme="0"/>
        <bgColor indexed="64"/>
      </patternFill>
    </fill>
    <fill>
      <patternFill patternType="solid">
        <fgColor rgb="FF1F4E78"/>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s>
  <cellStyleXfs count="1">
    <xf numFmtId="0" fontId="0" fillId="0" borderId="0"/>
  </cellStyleXfs>
  <cellXfs count="43">
    <xf numFmtId="0" fontId="0" fillId="0" borderId="0" xfId="0"/>
    <xf numFmtId="0" fontId="2" fillId="3" borderId="1" xfId="0" applyFont="1" applyFill="1" applyBorder="1" applyAlignment="1">
      <alignment horizontal="center" vertical="center" wrapText="1"/>
    </xf>
    <xf numFmtId="0" fontId="3" fillId="0" borderId="0" xfId="0" applyFont="1"/>
    <xf numFmtId="0" fontId="0" fillId="0" borderId="0" xfId="0" applyAlignment="1">
      <alignment wrapText="1"/>
    </xf>
    <xf numFmtId="0" fontId="2" fillId="3" borderId="1" xfId="0" applyFont="1" applyFill="1" applyBorder="1" applyAlignment="1">
      <alignment horizontal="center" vertical="center"/>
    </xf>
    <xf numFmtId="0" fontId="0" fillId="0" borderId="0" xfId="0" applyAlignment="1">
      <alignment vertical="top"/>
    </xf>
    <xf numFmtId="0" fontId="5" fillId="0" borderId="1" xfId="0" applyFont="1" applyBorder="1" applyAlignment="1">
      <alignment horizontal="center"/>
    </xf>
    <xf numFmtId="0" fontId="7"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center"/>
    </xf>
    <xf numFmtId="0" fontId="6" fillId="0" borderId="0" xfId="0" applyFont="1"/>
    <xf numFmtId="0" fontId="5" fillId="0" borderId="1" xfId="0" applyFont="1" applyBorder="1" applyAlignment="1">
      <alignment horizontal="center"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vertical="center" wrapText="1"/>
    </xf>
    <xf numFmtId="164" fontId="1" fillId="2" borderId="1" xfId="0" applyNumberFormat="1" applyFont="1" applyFill="1" applyBorder="1" applyAlignment="1">
      <alignment horizontal="center" vertical="center" wrapText="1"/>
    </xf>
    <xf numFmtId="0" fontId="6" fillId="0" borderId="0" xfId="0" applyFont="1" applyAlignment="1">
      <alignment vertical="center"/>
    </xf>
    <xf numFmtId="0" fontId="8" fillId="2" borderId="1" xfId="0" applyFont="1" applyFill="1" applyBorder="1" applyAlignment="1">
      <alignment vertical="center" wrapText="1"/>
    </xf>
    <xf numFmtId="164"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0" fillId="0" borderId="0" xfId="0" applyAlignment="1">
      <alignment horizontal="center" vertical="center"/>
    </xf>
    <xf numFmtId="0" fontId="11" fillId="3" borderId="1" xfId="0" applyFont="1" applyFill="1" applyBorder="1" applyAlignment="1">
      <alignment horizontal="center" vertical="center" wrapText="1"/>
    </xf>
    <xf numFmtId="0" fontId="0" fillId="0" borderId="0" xfId="0" applyAlignment="1">
      <alignment horizontal="left" vertical="center"/>
    </xf>
    <xf numFmtId="0" fontId="5" fillId="0" borderId="1" xfId="0" applyFont="1" applyBorder="1" applyAlignment="1">
      <alignment horizontal="center" vertical="center" wrapText="1"/>
    </xf>
    <xf numFmtId="0" fontId="8" fillId="2" borderId="1" xfId="0" applyFont="1" applyFill="1" applyBorder="1" applyAlignment="1">
      <alignment horizontal="left" vertical="center"/>
    </xf>
    <xf numFmtId="0" fontId="1" fillId="2" borderId="1" xfId="0" applyFont="1" applyFill="1" applyBorder="1" applyAlignment="1">
      <alignment horizontal="left" vertical="center"/>
    </xf>
    <xf numFmtId="0" fontId="13" fillId="0" borderId="0" xfId="0" applyFont="1" applyAlignment="1">
      <alignment vertical="center"/>
    </xf>
    <xf numFmtId="0" fontId="14" fillId="0" borderId="2" xfId="0" applyFont="1" applyBorder="1" applyAlignment="1">
      <alignment vertical="center"/>
    </xf>
    <xf numFmtId="14" fontId="5" fillId="0" borderId="1" xfId="0" applyNumberFormat="1" applyFont="1" applyBorder="1" applyAlignment="1">
      <alignment horizontal="center" vertical="center"/>
    </xf>
    <xf numFmtId="0" fontId="11" fillId="7"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9" fillId="4" borderId="0" xfId="0" applyFont="1" applyFill="1" applyAlignment="1">
      <alignment vertical="center"/>
    </xf>
    <xf numFmtId="0" fontId="0" fillId="0" borderId="0" xfId="0" applyAlignment="1">
      <alignment vertical="center" wrapText="1"/>
    </xf>
    <xf numFmtId="164" fontId="8" fillId="2" borderId="1" xfId="0" applyNumberFormat="1" applyFont="1" applyFill="1" applyBorder="1" applyAlignment="1">
      <alignment horizontal="center" vertical="center" wrapText="1"/>
    </xf>
    <xf numFmtId="14" fontId="5" fillId="5" borderId="1" xfId="0" applyNumberFormat="1" applyFont="1" applyFill="1" applyBorder="1" applyAlignment="1">
      <alignment horizontal="center" vertical="center"/>
    </xf>
    <xf numFmtId="14" fontId="5" fillId="5" borderId="1" xfId="0" applyNumberFormat="1" applyFont="1" applyFill="1" applyBorder="1" applyAlignment="1">
      <alignment horizontal="center" vertical="center" wrapText="1"/>
    </xf>
    <xf numFmtId="14" fontId="0" fillId="6" borderId="0" xfId="0" applyNumberFormat="1" applyFill="1" applyAlignment="1">
      <alignment vertical="center"/>
    </xf>
    <xf numFmtId="0" fontId="10" fillId="0" borderId="0" xfId="0" applyFont="1" applyAlignment="1">
      <alignment horizontal="center" vertical="center" wrapText="1"/>
    </xf>
    <xf numFmtId="0" fontId="0" fillId="6" borderId="0" xfId="0" applyFill="1" applyAlignment="1">
      <alignment vertical="center"/>
    </xf>
    <xf numFmtId="0" fontId="4" fillId="0" borderId="2" xfId="0" applyFont="1" applyBorder="1" applyAlignment="1">
      <alignment horizontal="left"/>
    </xf>
  </cellXfs>
  <cellStyles count="1">
    <cellStyle name="Normal" xfId="0" builtinId="0"/>
  </cellStyles>
  <dxfs count="11">
    <dxf>
      <font>
        <b/>
        <color rgb="FF404040"/>
        <name val="Arial"/>
        <charset val="1"/>
      </font>
      <fill>
        <patternFill>
          <bgColor rgb="FFD9E1F2"/>
        </patternFill>
      </fill>
    </dxf>
    <dxf>
      <font>
        <b/>
        <color rgb="FF9C6500"/>
        <name val="Arial"/>
        <charset val="1"/>
      </font>
      <fill>
        <patternFill>
          <bgColor rgb="FFFFEB9C"/>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9C0006"/>
        <name val="Arial"/>
        <charset val="1"/>
      </font>
      <fill>
        <patternFill>
          <bgColor rgb="FFFFC7CE"/>
        </patternFill>
      </fill>
    </dxf>
    <dxf>
      <font>
        <b/>
        <color rgb="FF404040"/>
        <name val="Arial"/>
        <charset val="1"/>
      </font>
      <fill>
        <patternFill>
          <bgColor rgb="FFD9E1F2"/>
        </patternFill>
      </fill>
    </dxf>
    <dxf>
      <font>
        <b/>
        <color rgb="FF9C6500"/>
        <name val="Arial"/>
        <charset val="1"/>
      </font>
      <fill>
        <patternFill>
          <bgColor rgb="FFFFEB9C"/>
        </patternFill>
      </fill>
    </dxf>
    <dxf>
      <font>
        <b/>
        <color rgb="FF006100"/>
        <name val="Arial"/>
        <charset val="1"/>
      </font>
      <fill>
        <patternFill>
          <bgColor rgb="FFC6EFCE"/>
        </patternFill>
      </fill>
    </dxf>
    <dxf>
      <font>
        <b/>
        <i val="0"/>
        <color theme="9" tint="-0.24994659260841701"/>
        <name val="Arial"/>
        <charset val="1"/>
      </font>
      <fill>
        <patternFill patternType="solid">
          <bgColor rgb="FFFFF2CC"/>
        </patternFill>
      </fill>
    </dxf>
    <dxf>
      <font>
        <b/>
        <i val="0"/>
        <color rgb="FF7030A0"/>
        <name val="Arial"/>
        <charset val="1"/>
      </font>
      <fill>
        <patternFill patternType="solid">
          <bgColor rgb="FFFFF2CC"/>
        </patternFill>
      </fill>
    </dxf>
    <dxf>
      <font>
        <b/>
        <i val="0"/>
        <color rgb="FFFF0000"/>
        <name val="Arial"/>
        <charset val="1"/>
      </font>
      <fill>
        <patternFill patternType="solid">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B7B7B7"/>
      <rgbColor rgb="FFFF99CC"/>
      <rgbColor rgb="FFCC99FF"/>
      <rgbColor rgb="FFFFC7CE"/>
      <rgbColor rgb="FF4F81BD"/>
      <rgbColor rgb="FF33CCCC"/>
      <rgbColor rgb="FF99CC00"/>
      <rgbColor rgb="FFFFCC00"/>
      <rgbColor rgb="FFFF9900"/>
      <rgbColor rgb="FFFF6600"/>
      <rgbColor rgb="FF595959"/>
      <rgbColor rgb="FF878787"/>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mruColors>
      <color rgb="FF0000FF"/>
      <color rgb="FF1F4E78"/>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2"/>
  <sheetViews>
    <sheetView zoomScaleNormal="100" workbookViewId="0">
      <pane ySplit="2" topLeftCell="A3" activePane="bottomLeft" state="frozen"/>
      <selection pane="bottomLeft" activeCell="F3" sqref="F3"/>
    </sheetView>
  </sheetViews>
  <sheetFormatPr baseColWidth="10" defaultColWidth="8.6640625" defaultRowHeight="14.4" x14ac:dyDescent="0.3"/>
  <cols>
    <col min="1" max="1" width="14" style="11" customWidth="1"/>
    <col min="2" max="2" width="16.109375" style="20" customWidth="1"/>
    <col min="3" max="3" width="18.6640625" style="16" customWidth="1"/>
    <col min="4" max="4" width="17" style="16" customWidth="1"/>
    <col min="5" max="5" width="18.6640625" style="16" customWidth="1"/>
    <col min="6" max="6" width="68.44140625" style="22" customWidth="1"/>
  </cols>
  <sheetData>
    <row r="1" spans="1:6" ht="24.6" customHeight="1" x14ac:dyDescent="0.3">
      <c r="A1" s="27" t="s">
        <v>0</v>
      </c>
      <c r="B1" s="27"/>
      <c r="C1" s="27"/>
      <c r="D1" s="27"/>
      <c r="E1" s="27"/>
      <c r="F1" s="27"/>
    </row>
    <row r="2" spans="1:6" ht="31.2" customHeight="1" x14ac:dyDescent="0.3">
      <c r="A2" s="4" t="s">
        <v>1</v>
      </c>
      <c r="B2" s="4" t="s">
        <v>2</v>
      </c>
      <c r="C2" s="7" t="s">
        <v>3</v>
      </c>
      <c r="D2" s="7" t="s">
        <v>4</v>
      </c>
      <c r="E2" s="7" t="s">
        <v>5</v>
      </c>
      <c r="F2" s="4" t="s">
        <v>6</v>
      </c>
    </row>
    <row r="3" spans="1:6" ht="22.2" customHeight="1" x14ac:dyDescent="0.3">
      <c r="A3" s="12" t="str">
        <f>IF(B3="","",TEXT(B3,"YYYYMMDD")&amp;"-"&amp;TEXT(ROW()-2,"000"))</f>
        <v>20260722-001</v>
      </c>
      <c r="B3" s="13">
        <v>46225</v>
      </c>
      <c r="C3" s="12">
        <f>IF(A3="","",COUNTIF(Observaciones!$C:$C,A3))</f>
        <v>2</v>
      </c>
      <c r="D3" s="12">
        <f>IF(A3="","",COUNTIFS(Observaciones!$C:$C,A3,Observaciones!$H:$H,"P"))</f>
        <v>0</v>
      </c>
      <c r="E3" s="12">
        <f>IF(A3="","",COUNTIF(Consultas!$C:$C,A3))</f>
        <v>11</v>
      </c>
      <c r="F3" s="24" t="s">
        <v>89</v>
      </c>
    </row>
    <row r="4" spans="1:6" ht="22.2" customHeight="1" x14ac:dyDescent="0.3">
      <c r="A4" s="12" t="str">
        <f t="shared" ref="A4:A62" si="0">IF(B4="","",TEXT(B4,"YYYYMMDD")&amp;"-"&amp;TEXT(ROW()-2,"000"))</f>
        <v>20260727-002</v>
      </c>
      <c r="B4" s="13">
        <v>46230</v>
      </c>
      <c r="C4" s="12">
        <f>IF(A4="","",COUNTIF(Observaciones!$C:$C,A4))</f>
        <v>0</v>
      </c>
      <c r="D4" s="12">
        <f>IF(A4="","",COUNTIFS(Observaciones!$C:$C,A4,Observaciones!$H:$H,"P"))</f>
        <v>0</v>
      </c>
      <c r="E4" s="12">
        <f>IF(A4="","",COUNTIF(Consultas!$C:$C,A4))</f>
        <v>3</v>
      </c>
      <c r="F4" s="25" t="s">
        <v>7</v>
      </c>
    </row>
    <row r="5" spans="1:6" ht="22.2" customHeight="1" x14ac:dyDescent="0.3">
      <c r="A5" s="12" t="str">
        <f t="shared" si="0"/>
        <v>20260730-003</v>
      </c>
      <c r="B5" s="13">
        <v>46233</v>
      </c>
      <c r="C5" s="12">
        <f>IF(A5="","",COUNTIF(Observaciones!$C:$C,A5))</f>
        <v>8</v>
      </c>
      <c r="D5" s="12">
        <f>IF(A5="","",COUNTIFS(Consultas!$C:$C,A5,Consultas!$H:$H,"P"))</f>
        <v>0</v>
      </c>
      <c r="E5" s="12">
        <f>IF(A5="","",COUNTIF(Consultas!$C:$C,A5))</f>
        <v>1</v>
      </c>
      <c r="F5" s="24" t="s">
        <v>8</v>
      </c>
    </row>
    <row r="6" spans="1:6" ht="22.2" customHeight="1" x14ac:dyDescent="0.3">
      <c r="A6" s="6" t="str">
        <f t="shared" si="0"/>
        <v>20260730-004</v>
      </c>
      <c r="B6" s="13">
        <v>46233</v>
      </c>
      <c r="C6" s="12">
        <f>IF(A6="","",COUNTIF(Observaciones!$C:$C,A6))</f>
        <v>3</v>
      </c>
      <c r="D6" s="12">
        <f>IF(A6="","",COUNTIFS(Consultas!$C:$C,A6,Consultas!$H:$H,"P"))</f>
        <v>8</v>
      </c>
      <c r="E6" s="12">
        <f>IF(A6="","",COUNTIF(Consultas!$C:$C,A6))</f>
        <v>8</v>
      </c>
      <c r="F6" s="25" t="s">
        <v>88</v>
      </c>
    </row>
    <row r="7" spans="1:6" ht="22.2" customHeight="1" x14ac:dyDescent="0.3">
      <c r="A7" s="6" t="str">
        <f t="shared" si="0"/>
        <v/>
      </c>
      <c r="B7" s="13"/>
      <c r="C7" s="12" t="str">
        <f>IF(A7="","",COUNTIF(Observaciones!$C:$C,A7))</f>
        <v/>
      </c>
      <c r="D7" s="12" t="str">
        <f>IF(A7="","",COUNTIFS(Consultas!$C:$C,A7,Consultas!$H:$H,"P"))</f>
        <v/>
      </c>
      <c r="E7" s="12" t="str">
        <f>IF(A7="","",COUNTIF(Consultas!$C:$C,A7))</f>
        <v/>
      </c>
      <c r="F7" s="25"/>
    </row>
    <row r="8" spans="1:6" ht="22.2" customHeight="1" x14ac:dyDescent="0.3">
      <c r="A8" s="6" t="str">
        <f t="shared" si="0"/>
        <v/>
      </c>
      <c r="B8" s="13"/>
      <c r="C8" s="12" t="str">
        <f>IF(A8="","",COUNTIF(Observaciones!$C:$C,A8))</f>
        <v/>
      </c>
      <c r="D8" s="12" t="str">
        <f>IF(A8="","",COUNTIFS(Consultas!$C:$C,A8,Consultas!$H:$H,"P"))</f>
        <v/>
      </c>
      <c r="E8" s="12" t="str">
        <f>IF(A8="","",COUNTIF(Consultas!$C:$C,A8))</f>
        <v/>
      </c>
      <c r="F8" s="25"/>
    </row>
    <row r="9" spans="1:6" ht="22.2" customHeight="1" x14ac:dyDescent="0.3">
      <c r="A9" s="6" t="str">
        <f t="shared" si="0"/>
        <v/>
      </c>
      <c r="B9" s="13"/>
      <c r="C9" s="12" t="str">
        <f>IF(A9="","",COUNTIF(Observaciones!$C:$C,A9))</f>
        <v/>
      </c>
      <c r="D9" s="12" t="str">
        <f>IF(A9="","",COUNTIFS(Consultas!$C:$C,A9,Consultas!$H:$H,"P"))</f>
        <v/>
      </c>
      <c r="E9" s="12" t="str">
        <f>IF(A9="","",COUNTIF(Consultas!$C:$C,A9))</f>
        <v/>
      </c>
      <c r="F9" s="25"/>
    </row>
    <row r="10" spans="1:6" ht="22.2" customHeight="1" x14ac:dyDescent="0.3">
      <c r="A10" s="6" t="str">
        <f t="shared" si="0"/>
        <v/>
      </c>
      <c r="B10" s="13"/>
      <c r="C10" s="12" t="str">
        <f>IF(A10="","",COUNTIF(Observaciones!$C:$C,A10))</f>
        <v/>
      </c>
      <c r="D10" s="12" t="str">
        <f>IF(A10="","",COUNTIFS(Consultas!$C:$C,A10,Consultas!$H:$H,"P"))</f>
        <v/>
      </c>
      <c r="E10" s="12" t="str">
        <f>IF(A10="","",COUNTIF(Consultas!$C:$C,A10))</f>
        <v/>
      </c>
      <c r="F10" s="25"/>
    </row>
    <row r="11" spans="1:6" ht="22.2" customHeight="1" x14ac:dyDescent="0.3">
      <c r="A11" s="6" t="str">
        <f t="shared" si="0"/>
        <v/>
      </c>
      <c r="B11" s="13"/>
      <c r="C11" s="12" t="str">
        <f>IF(A11="","",COUNTIF(Observaciones!$C:$C,A11))</f>
        <v/>
      </c>
      <c r="D11" s="12" t="str">
        <f>IF(A11="","",COUNTIFS(Consultas!$C:$C,A11,Consultas!$H:$H,"P"))</f>
        <v/>
      </c>
      <c r="E11" s="12" t="str">
        <f>IF(A11="","",COUNTIF(Consultas!$C:$C,A11))</f>
        <v/>
      </c>
      <c r="F11" s="25"/>
    </row>
    <row r="12" spans="1:6" ht="22.2" customHeight="1" x14ac:dyDescent="0.3">
      <c r="A12" s="6" t="str">
        <f t="shared" si="0"/>
        <v/>
      </c>
      <c r="B12" s="13"/>
      <c r="C12" s="12" t="str">
        <f>IF(A12="","",COUNTIF(Observaciones!$C:$C,A12))</f>
        <v/>
      </c>
      <c r="D12" s="12" t="str">
        <f>IF(A12="","",COUNTIFS(Consultas!$C:$C,A12,Consultas!$H:$H,"P"))</f>
        <v/>
      </c>
      <c r="E12" s="12" t="str">
        <f>IF(A12="","",COUNTIF(Consultas!$C:$C,A12))</f>
        <v/>
      </c>
      <c r="F12" s="25"/>
    </row>
    <row r="13" spans="1:6" ht="22.2" customHeight="1" x14ac:dyDescent="0.3">
      <c r="A13" s="6" t="str">
        <f t="shared" si="0"/>
        <v/>
      </c>
      <c r="B13" s="13"/>
      <c r="C13" s="12" t="str">
        <f>IF(A13="","",COUNTIF(Observaciones!$C:$C,A13))</f>
        <v/>
      </c>
      <c r="D13" s="12" t="str">
        <f>IF(A13="","",COUNTIFS(Consultas!$C:$C,A13,Consultas!$H:$H,"P"))</f>
        <v/>
      </c>
      <c r="E13" s="12" t="str">
        <f>IF(A13="","",COUNTIF(Consultas!$C:$C,A13))</f>
        <v/>
      </c>
      <c r="F13" s="25"/>
    </row>
    <row r="14" spans="1:6" ht="22.2" customHeight="1" x14ac:dyDescent="0.3">
      <c r="A14" s="6" t="str">
        <f t="shared" si="0"/>
        <v/>
      </c>
      <c r="B14" s="13"/>
      <c r="C14" s="12" t="str">
        <f>IF(A14="","",COUNTIF(Observaciones!$C:$C,A14))</f>
        <v/>
      </c>
      <c r="D14" s="12" t="str">
        <f>IF(A14="","",COUNTIFS(Consultas!$C:$C,A14,Consultas!$H:$H,"P"))</f>
        <v/>
      </c>
      <c r="E14" s="12" t="str">
        <f>IF(A14="","",COUNTIF(Consultas!$C:$C,A14))</f>
        <v/>
      </c>
      <c r="F14" s="25"/>
    </row>
    <row r="15" spans="1:6" ht="22.2" customHeight="1" x14ac:dyDescent="0.3">
      <c r="A15" s="6" t="str">
        <f t="shared" si="0"/>
        <v/>
      </c>
      <c r="B15" s="13"/>
      <c r="C15" s="12" t="str">
        <f>IF(A15="","",COUNTIF(Observaciones!$C:$C,A15))</f>
        <v/>
      </c>
      <c r="D15" s="12" t="str">
        <f>IF(A15="","",COUNTIFS(Consultas!$C:$C,A15,Consultas!$H:$H,"P"))</f>
        <v/>
      </c>
      <c r="E15" s="12" t="str">
        <f>IF(A15="","",COUNTIF(Consultas!$C:$C,A15))</f>
        <v/>
      </c>
      <c r="F15" s="25"/>
    </row>
    <row r="16" spans="1:6" ht="22.2" customHeight="1" x14ac:dyDescent="0.3">
      <c r="A16" s="6" t="str">
        <f t="shared" si="0"/>
        <v/>
      </c>
      <c r="B16" s="13"/>
      <c r="C16" s="12" t="str">
        <f>IF(A16="","",COUNTIF(Observaciones!$C:$C,A16))</f>
        <v/>
      </c>
      <c r="D16" s="12" t="str">
        <f>IF(A16="","",COUNTIFS(Consultas!$C:$C,A16,Consultas!$H:$H,"P"))</f>
        <v/>
      </c>
      <c r="E16" s="12" t="str">
        <f>IF(A16="","",COUNTIF(Consultas!$C:$C,A16))</f>
        <v/>
      </c>
      <c r="F16" s="25"/>
    </row>
    <row r="17" spans="1:6" ht="22.2" customHeight="1" x14ac:dyDescent="0.3">
      <c r="A17" s="6" t="str">
        <f t="shared" si="0"/>
        <v/>
      </c>
      <c r="B17" s="13"/>
      <c r="C17" s="12" t="str">
        <f>IF(A17="","",COUNTIF(Observaciones!$C:$C,A17))</f>
        <v/>
      </c>
      <c r="D17" s="12" t="str">
        <f>IF(A17="","",COUNTIFS(Consultas!$C:$C,A17,Consultas!$H:$H,"P"))</f>
        <v/>
      </c>
      <c r="E17" s="12" t="str">
        <f>IF(A17="","",COUNTIF(Consultas!$C:$C,A17))</f>
        <v/>
      </c>
      <c r="F17" s="25"/>
    </row>
    <row r="18" spans="1:6" ht="22.2" customHeight="1" x14ac:dyDescent="0.3">
      <c r="A18" s="6" t="str">
        <f t="shared" si="0"/>
        <v/>
      </c>
      <c r="B18" s="13"/>
      <c r="C18" s="12" t="str">
        <f>IF(A18="","",COUNTIF(Observaciones!$C:$C,A18))</f>
        <v/>
      </c>
      <c r="D18" s="12" t="str">
        <f>IF(A18="","",COUNTIFS(Consultas!$C:$C,A18,Consultas!$H:$H,"P"))</f>
        <v/>
      </c>
      <c r="E18" s="12" t="str">
        <f>IF(A18="","",COUNTIF(Consultas!$C:$C,A18))</f>
        <v/>
      </c>
      <c r="F18" s="25"/>
    </row>
    <row r="19" spans="1:6" ht="22.2" customHeight="1" x14ac:dyDescent="0.3">
      <c r="A19" s="6" t="str">
        <f t="shared" si="0"/>
        <v/>
      </c>
      <c r="B19" s="13"/>
      <c r="C19" s="12" t="str">
        <f>IF(A19="","",COUNTIF(Observaciones!$C:$C,A19))</f>
        <v/>
      </c>
      <c r="D19" s="12" t="str">
        <f>IF(A19="","",COUNTIFS(Consultas!$C:$C,A19,Consultas!$H:$H,"P"))</f>
        <v/>
      </c>
      <c r="E19" s="12" t="str">
        <f>IF(A19="","",COUNTIF(Consultas!$C:$C,A19))</f>
        <v/>
      </c>
      <c r="F19" s="25"/>
    </row>
    <row r="20" spans="1:6" ht="22.2" customHeight="1" x14ac:dyDescent="0.3">
      <c r="A20" s="6" t="str">
        <f t="shared" si="0"/>
        <v/>
      </c>
      <c r="B20" s="13"/>
      <c r="C20" s="12" t="str">
        <f>IF(A20="","",COUNTIF(Observaciones!$C:$C,A20))</f>
        <v/>
      </c>
      <c r="D20" s="12" t="str">
        <f>IF(A20="","",COUNTIFS(Consultas!$C:$C,A20,Consultas!$H:$H,"P"))</f>
        <v/>
      </c>
      <c r="E20" s="12" t="str">
        <f>IF(A20="","",COUNTIF(Consultas!$C:$C,A20))</f>
        <v/>
      </c>
      <c r="F20" s="25"/>
    </row>
    <row r="21" spans="1:6" ht="22.2" customHeight="1" x14ac:dyDescent="0.3">
      <c r="A21" s="6" t="str">
        <f t="shared" si="0"/>
        <v/>
      </c>
      <c r="B21" s="13"/>
      <c r="C21" s="12" t="str">
        <f>IF(A21="","",COUNTIF(Observaciones!$C:$C,A21))</f>
        <v/>
      </c>
      <c r="D21" s="12" t="str">
        <f>IF(A21="","",COUNTIFS(Consultas!$C:$C,A21,Consultas!$H:$H,"P"))</f>
        <v/>
      </c>
      <c r="E21" s="12" t="str">
        <f>IF(A21="","",COUNTIF(Consultas!$C:$C,A21))</f>
        <v/>
      </c>
      <c r="F21" s="25"/>
    </row>
    <row r="22" spans="1:6" ht="22.2" customHeight="1" x14ac:dyDescent="0.3">
      <c r="A22" s="6" t="str">
        <f t="shared" si="0"/>
        <v/>
      </c>
      <c r="B22" s="13"/>
      <c r="C22" s="12" t="str">
        <f>IF(A22="","",COUNTIF(Observaciones!$C:$C,A22))</f>
        <v/>
      </c>
      <c r="D22" s="12" t="str">
        <f>IF(A22="","",COUNTIFS(Consultas!$C:$C,A22,Consultas!$H:$H,"P"))</f>
        <v/>
      </c>
      <c r="E22" s="12" t="str">
        <f>IF(A22="","",COUNTIF(Consultas!$C:$C,A22))</f>
        <v/>
      </c>
      <c r="F22" s="25"/>
    </row>
    <row r="23" spans="1:6" ht="22.2" customHeight="1" x14ac:dyDescent="0.3">
      <c r="A23" s="6" t="str">
        <f t="shared" si="0"/>
        <v/>
      </c>
      <c r="B23" s="13"/>
      <c r="C23" s="12" t="str">
        <f>IF(A23="","",COUNTIF(Observaciones!$C:$C,A23))</f>
        <v/>
      </c>
      <c r="D23" s="12" t="str">
        <f>IF(A23="","",COUNTIFS(Consultas!$C:$C,A23,Consultas!$H:$H,"P"))</f>
        <v/>
      </c>
      <c r="E23" s="12" t="str">
        <f>IF(A23="","",COUNTIF(Consultas!$C:$C,A23))</f>
        <v/>
      </c>
      <c r="F23" s="25"/>
    </row>
    <row r="24" spans="1:6" ht="22.2" customHeight="1" x14ac:dyDescent="0.3">
      <c r="A24" s="6" t="str">
        <f t="shared" si="0"/>
        <v/>
      </c>
      <c r="B24" s="13"/>
      <c r="C24" s="12" t="str">
        <f>IF(A24="","",COUNTIF(Observaciones!$C:$C,A24))</f>
        <v/>
      </c>
      <c r="D24" s="12" t="str">
        <f>IF(A24="","",COUNTIFS(Consultas!$C:$C,A24,Consultas!$H:$H,"P"))</f>
        <v/>
      </c>
      <c r="E24" s="12" t="str">
        <f>IF(A24="","",COUNTIF(Consultas!$C:$C,A24))</f>
        <v/>
      </c>
      <c r="F24" s="25"/>
    </row>
    <row r="25" spans="1:6" ht="22.2" customHeight="1" x14ac:dyDescent="0.3">
      <c r="A25" s="6" t="str">
        <f t="shared" si="0"/>
        <v/>
      </c>
      <c r="B25" s="13"/>
      <c r="C25" s="12" t="str">
        <f>IF(A25="","",COUNTIF(Observaciones!$C:$C,A25))</f>
        <v/>
      </c>
      <c r="D25" s="12" t="str">
        <f>IF(A25="","",COUNTIFS(Consultas!$C:$C,A25,Consultas!$H:$H,"P"))</f>
        <v/>
      </c>
      <c r="E25" s="12" t="str">
        <f>IF(A25="","",COUNTIF(Consultas!$C:$C,A25))</f>
        <v/>
      </c>
      <c r="F25" s="25"/>
    </row>
    <row r="26" spans="1:6" ht="22.2" customHeight="1" x14ac:dyDescent="0.3">
      <c r="A26" s="6" t="str">
        <f t="shared" si="0"/>
        <v/>
      </c>
      <c r="B26" s="13"/>
      <c r="C26" s="12" t="str">
        <f>IF(A26="","",COUNTIF(Observaciones!$C:$C,A26))</f>
        <v/>
      </c>
      <c r="D26" s="12" t="str">
        <f>IF(A26="","",COUNTIFS(Consultas!$C:$C,A26,Consultas!$H:$H,"P"))</f>
        <v/>
      </c>
      <c r="E26" s="12" t="str">
        <f>IF(A26="","",COUNTIF(Consultas!$C:$C,A26))</f>
        <v/>
      </c>
      <c r="F26" s="25"/>
    </row>
    <row r="27" spans="1:6" ht="22.2" customHeight="1" x14ac:dyDescent="0.3">
      <c r="A27" s="6" t="str">
        <f t="shared" si="0"/>
        <v/>
      </c>
      <c r="B27" s="13"/>
      <c r="C27" s="12" t="str">
        <f>IF(A27="","",COUNTIF(Observaciones!$C:$C,A27))</f>
        <v/>
      </c>
      <c r="D27" s="12" t="str">
        <f>IF(A27="","",COUNTIFS(Consultas!$C:$C,A27,Consultas!$H:$H,"P"))</f>
        <v/>
      </c>
      <c r="E27" s="12" t="str">
        <f>IF(A27="","",COUNTIF(Consultas!$C:$C,A27))</f>
        <v/>
      </c>
      <c r="F27" s="25"/>
    </row>
    <row r="28" spans="1:6" ht="22.2" customHeight="1" x14ac:dyDescent="0.3">
      <c r="A28" s="6" t="str">
        <f t="shared" si="0"/>
        <v/>
      </c>
      <c r="B28" s="13"/>
      <c r="C28" s="12" t="str">
        <f>IF(A28="","",COUNTIF(Observaciones!$C:$C,A28))</f>
        <v/>
      </c>
      <c r="D28" s="12" t="str">
        <f>IF(A28="","",COUNTIFS(Consultas!$C:$C,A28,Consultas!$H:$H,"P"))</f>
        <v/>
      </c>
      <c r="E28" s="12" t="str">
        <f>IF(A28="","",COUNTIF(Consultas!$C:$C,A28))</f>
        <v/>
      </c>
      <c r="F28" s="25"/>
    </row>
    <row r="29" spans="1:6" ht="22.2" customHeight="1" x14ac:dyDescent="0.3">
      <c r="A29" s="6" t="str">
        <f t="shared" si="0"/>
        <v/>
      </c>
      <c r="B29" s="13"/>
      <c r="C29" s="12" t="str">
        <f>IF(A29="","",COUNTIF(Observaciones!$C:$C,A29))</f>
        <v/>
      </c>
      <c r="D29" s="12" t="str">
        <f>IF(A29="","",COUNTIFS(Consultas!$C:$C,A29,Consultas!$H:$H,"P"))</f>
        <v/>
      </c>
      <c r="E29" s="12" t="str">
        <f>IF(A29="","",COUNTIF(Consultas!$C:$C,A29))</f>
        <v/>
      </c>
      <c r="F29" s="25"/>
    </row>
    <row r="30" spans="1:6" ht="22.2" customHeight="1" x14ac:dyDescent="0.3">
      <c r="A30" s="6" t="str">
        <f t="shared" si="0"/>
        <v/>
      </c>
      <c r="B30" s="13"/>
      <c r="C30" s="12" t="str">
        <f>IF(A30="","",COUNTIF(Observaciones!$C:$C,A30))</f>
        <v/>
      </c>
      <c r="D30" s="12" t="str">
        <f>IF(A30="","",COUNTIFS(Consultas!$C:$C,A30,Consultas!$H:$H,"P"))</f>
        <v/>
      </c>
      <c r="E30" s="12" t="str">
        <f>IF(A30="","",COUNTIF(Consultas!$C:$C,A30))</f>
        <v/>
      </c>
      <c r="F30" s="25"/>
    </row>
    <row r="31" spans="1:6" ht="22.2" customHeight="1" x14ac:dyDescent="0.3">
      <c r="A31" s="6" t="str">
        <f t="shared" si="0"/>
        <v/>
      </c>
      <c r="B31" s="13"/>
      <c r="C31" s="12" t="str">
        <f>IF(A31="","",COUNTIF(Observaciones!$C:$C,A31))</f>
        <v/>
      </c>
      <c r="D31" s="12" t="str">
        <f>IF(A31="","",COUNTIFS(Consultas!$C:$C,A31,Consultas!$H:$H,"P"))</f>
        <v/>
      </c>
      <c r="E31" s="12" t="str">
        <f>IF(A31="","",COUNTIF(Consultas!$C:$C,A31))</f>
        <v/>
      </c>
      <c r="F31" s="25"/>
    </row>
    <row r="32" spans="1:6" ht="22.2" customHeight="1" x14ac:dyDescent="0.3">
      <c r="A32" s="6" t="str">
        <f t="shared" si="0"/>
        <v/>
      </c>
      <c r="B32" s="13"/>
      <c r="C32" s="12" t="str">
        <f>IF(A32="","",COUNTIF(Observaciones!$C:$C,A32))</f>
        <v/>
      </c>
      <c r="D32" s="12" t="str">
        <f>IF(A32="","",COUNTIFS(Consultas!$C:$C,A32,Consultas!$H:$H,"P"))</f>
        <v/>
      </c>
      <c r="E32" s="12" t="str">
        <f>IF(A32="","",COUNTIF(Consultas!$C:$C,A32))</f>
        <v/>
      </c>
      <c r="F32" s="25"/>
    </row>
    <row r="33" spans="1:6" ht="22.2" customHeight="1" x14ac:dyDescent="0.3">
      <c r="A33" s="6" t="str">
        <f t="shared" si="0"/>
        <v/>
      </c>
      <c r="B33" s="13"/>
      <c r="C33" s="12" t="str">
        <f>IF(A33="","",COUNTIF(Observaciones!$C:$C,A33))</f>
        <v/>
      </c>
      <c r="D33" s="12" t="str">
        <f>IF(A33="","",COUNTIFS(Consultas!$C:$C,A33,Consultas!$H:$H,"P"))</f>
        <v/>
      </c>
      <c r="E33" s="12" t="str">
        <f>IF(A33="","",COUNTIF(Consultas!$C:$C,A33))</f>
        <v/>
      </c>
      <c r="F33" s="25"/>
    </row>
    <row r="34" spans="1:6" ht="22.2" customHeight="1" x14ac:dyDescent="0.3">
      <c r="A34" s="6" t="str">
        <f t="shared" si="0"/>
        <v/>
      </c>
      <c r="B34" s="13"/>
      <c r="C34" s="12" t="str">
        <f>IF(A34="","",COUNTIF(Observaciones!$C:$C,A34))</f>
        <v/>
      </c>
      <c r="D34" s="12" t="str">
        <f>IF(A34="","",COUNTIFS(Consultas!$C:$C,A34,Consultas!$H:$H,"P"))</f>
        <v/>
      </c>
      <c r="E34" s="12" t="str">
        <f>IF(A34="","",COUNTIF(Consultas!$C:$C,A34))</f>
        <v/>
      </c>
      <c r="F34" s="25"/>
    </row>
    <row r="35" spans="1:6" ht="22.2" customHeight="1" x14ac:dyDescent="0.3">
      <c r="A35" s="6" t="str">
        <f t="shared" si="0"/>
        <v/>
      </c>
      <c r="B35" s="13"/>
      <c r="C35" s="12" t="str">
        <f>IF(A35="","",COUNTIF(Observaciones!$C:$C,A35))</f>
        <v/>
      </c>
      <c r="D35" s="12" t="str">
        <f>IF(A35="","",COUNTIFS(Consultas!$C:$C,A35,Consultas!$H:$H,"P"))</f>
        <v/>
      </c>
      <c r="E35" s="12" t="str">
        <f>IF(A35="","",COUNTIF(Consultas!$C:$C,A35))</f>
        <v/>
      </c>
      <c r="F35" s="25"/>
    </row>
    <row r="36" spans="1:6" ht="22.2" customHeight="1" x14ac:dyDescent="0.3">
      <c r="A36" s="6" t="str">
        <f t="shared" si="0"/>
        <v/>
      </c>
      <c r="B36" s="13"/>
      <c r="C36" s="12" t="str">
        <f>IF(A36="","",COUNTIF(Observaciones!$C:$C,A36))</f>
        <v/>
      </c>
      <c r="D36" s="12" t="str">
        <f>IF(A36="","",COUNTIFS(Consultas!$C:$C,A36,Consultas!$H:$H,"P"))</f>
        <v/>
      </c>
      <c r="E36" s="12" t="str">
        <f>IF(A36="","",COUNTIF(Consultas!$C:$C,A36))</f>
        <v/>
      </c>
      <c r="F36" s="25"/>
    </row>
    <row r="37" spans="1:6" ht="22.2" customHeight="1" x14ac:dyDescent="0.3">
      <c r="A37" s="6" t="str">
        <f t="shared" si="0"/>
        <v/>
      </c>
      <c r="B37" s="13"/>
      <c r="C37" s="12" t="str">
        <f>IF(A37="","",COUNTIF(Observaciones!$C:$C,A37))</f>
        <v/>
      </c>
      <c r="D37" s="12" t="str">
        <f>IF(A37="","",COUNTIFS(Consultas!$C:$C,A37,Consultas!$H:$H,"P"))</f>
        <v/>
      </c>
      <c r="E37" s="12" t="str">
        <f>IF(A37="","",COUNTIF(Consultas!$C:$C,A37))</f>
        <v/>
      </c>
      <c r="F37" s="25"/>
    </row>
    <row r="38" spans="1:6" ht="22.2" customHeight="1" x14ac:dyDescent="0.3">
      <c r="A38" s="6" t="str">
        <f t="shared" si="0"/>
        <v/>
      </c>
      <c r="B38" s="13"/>
      <c r="C38" s="12" t="str">
        <f>IF(A38="","",COUNTIF(Observaciones!$C:$C,A38))</f>
        <v/>
      </c>
      <c r="D38" s="12" t="str">
        <f>IF(A38="","",COUNTIFS(Consultas!$C:$C,A38,Consultas!$H:$H,"P"))</f>
        <v/>
      </c>
      <c r="E38" s="12" t="str">
        <f>IF(A38="","",COUNTIF(Consultas!$C:$C,A38))</f>
        <v/>
      </c>
      <c r="F38" s="25"/>
    </row>
    <row r="39" spans="1:6" ht="22.2" customHeight="1" x14ac:dyDescent="0.3">
      <c r="A39" s="6" t="str">
        <f t="shared" si="0"/>
        <v/>
      </c>
      <c r="B39" s="13"/>
      <c r="C39" s="12" t="str">
        <f>IF(A39="","",COUNTIF(Observaciones!$C:$C,A39))</f>
        <v/>
      </c>
      <c r="D39" s="12" t="str">
        <f>IF(A39="","",COUNTIFS(Consultas!$C:$C,A39,Consultas!$H:$H,"P"))</f>
        <v/>
      </c>
      <c r="E39" s="12" t="str">
        <f>IF(A39="","",COUNTIF(Consultas!$C:$C,A39))</f>
        <v/>
      </c>
      <c r="F39" s="25"/>
    </row>
    <row r="40" spans="1:6" ht="22.2" customHeight="1" x14ac:dyDescent="0.3">
      <c r="A40" s="6" t="str">
        <f t="shared" si="0"/>
        <v/>
      </c>
      <c r="B40" s="13"/>
      <c r="C40" s="12" t="str">
        <f>IF(A40="","",COUNTIF(Observaciones!$C:$C,A40))</f>
        <v/>
      </c>
      <c r="D40" s="12" t="str">
        <f>IF(A40="","",COUNTIFS(Consultas!$C:$C,A40,Consultas!$H:$H,"P"))</f>
        <v/>
      </c>
      <c r="E40" s="12" t="str">
        <f>IF(A40="","",COUNTIF(Consultas!$C:$C,A40))</f>
        <v/>
      </c>
      <c r="F40" s="25"/>
    </row>
    <row r="41" spans="1:6" ht="22.2" customHeight="1" x14ac:dyDescent="0.3">
      <c r="A41" s="6" t="str">
        <f t="shared" si="0"/>
        <v/>
      </c>
      <c r="B41" s="13"/>
      <c r="C41" s="12" t="str">
        <f>IF(A41="","",COUNTIF(Observaciones!$C:$C,A41))</f>
        <v/>
      </c>
      <c r="D41" s="12" t="str">
        <f>IF(A41="","",COUNTIFS(Consultas!$C:$C,A41,Consultas!$H:$H,"P"))</f>
        <v/>
      </c>
      <c r="E41" s="12" t="str">
        <f>IF(A41="","",COUNTIF(Consultas!$C:$C,A41))</f>
        <v/>
      </c>
      <c r="F41" s="25"/>
    </row>
    <row r="42" spans="1:6" ht="22.2" customHeight="1" x14ac:dyDescent="0.3">
      <c r="A42" s="6" t="str">
        <f t="shared" si="0"/>
        <v/>
      </c>
      <c r="B42" s="13"/>
      <c r="C42" s="12" t="str">
        <f>IF(A42="","",COUNTIF(Observaciones!$C:$C,A42))</f>
        <v/>
      </c>
      <c r="D42" s="12" t="str">
        <f>IF(A42="","",COUNTIFS(Consultas!$C:$C,A42,Consultas!$H:$H,"P"))</f>
        <v/>
      </c>
      <c r="E42" s="12" t="str">
        <f>IF(A42="","",COUNTIF(Consultas!$C:$C,A42))</f>
        <v/>
      </c>
      <c r="F42" s="25"/>
    </row>
    <row r="43" spans="1:6" ht="22.2" customHeight="1" x14ac:dyDescent="0.3">
      <c r="A43" s="6" t="str">
        <f t="shared" si="0"/>
        <v/>
      </c>
      <c r="B43" s="13"/>
      <c r="C43" s="12" t="str">
        <f>IF(A43="","",COUNTIF(Observaciones!$C:$C,A43))</f>
        <v/>
      </c>
      <c r="D43" s="12" t="str">
        <f>IF(A43="","",COUNTIFS(Consultas!$C:$C,A43,Consultas!$H:$H,"P"))</f>
        <v/>
      </c>
      <c r="E43" s="12" t="str">
        <f>IF(A43="","",COUNTIF(Consultas!$C:$C,A43))</f>
        <v/>
      </c>
      <c r="F43" s="25"/>
    </row>
    <row r="44" spans="1:6" ht="22.2" customHeight="1" x14ac:dyDescent="0.3">
      <c r="A44" s="6" t="str">
        <f t="shared" si="0"/>
        <v/>
      </c>
      <c r="B44" s="13"/>
      <c r="C44" s="12" t="str">
        <f>IF(A44="","",COUNTIF(Observaciones!$C:$C,A44))</f>
        <v/>
      </c>
      <c r="D44" s="12" t="str">
        <f>IF(A44="","",COUNTIFS(Consultas!$C:$C,A44,Consultas!$H:$H,"P"))</f>
        <v/>
      </c>
      <c r="E44" s="12" t="str">
        <f>IF(A44="","",COUNTIF(Consultas!$C:$C,A44))</f>
        <v/>
      </c>
      <c r="F44" s="25"/>
    </row>
    <row r="45" spans="1:6" ht="22.2" customHeight="1" x14ac:dyDescent="0.3">
      <c r="A45" s="6" t="str">
        <f t="shared" si="0"/>
        <v/>
      </c>
      <c r="B45" s="13"/>
      <c r="C45" s="12" t="str">
        <f>IF(A45="","",COUNTIF(Observaciones!$C:$C,A45))</f>
        <v/>
      </c>
      <c r="D45" s="12" t="str">
        <f>IF(A45="","",COUNTIFS(Consultas!$C:$C,A45,Consultas!$H:$H,"P"))</f>
        <v/>
      </c>
      <c r="E45" s="12" t="str">
        <f>IF(A45="","",COUNTIF(Consultas!$C:$C,A45))</f>
        <v/>
      </c>
      <c r="F45" s="25"/>
    </row>
    <row r="46" spans="1:6" ht="22.2" customHeight="1" x14ac:dyDescent="0.3">
      <c r="A46" s="6" t="str">
        <f t="shared" si="0"/>
        <v/>
      </c>
      <c r="B46" s="13"/>
      <c r="C46" s="12" t="str">
        <f>IF(A46="","",COUNTIF(Observaciones!$C:$C,A46))</f>
        <v/>
      </c>
      <c r="D46" s="12" t="str">
        <f>IF(A46="","",COUNTIFS(Consultas!$C:$C,A46,Consultas!$H:$H,"P"))</f>
        <v/>
      </c>
      <c r="E46" s="12" t="str">
        <f>IF(A46="","",COUNTIF(Consultas!$C:$C,A46))</f>
        <v/>
      </c>
      <c r="F46" s="25"/>
    </row>
    <row r="47" spans="1:6" ht="22.2" customHeight="1" x14ac:dyDescent="0.3">
      <c r="A47" s="6" t="str">
        <f t="shared" si="0"/>
        <v/>
      </c>
      <c r="B47" s="13"/>
      <c r="C47" s="12" t="str">
        <f>IF(A47="","",COUNTIF(Observaciones!$C:$C,A47))</f>
        <v/>
      </c>
      <c r="D47" s="12" t="str">
        <f>IF(A47="","",COUNTIFS(Consultas!$C:$C,A47,Consultas!$H:$H,"P"))</f>
        <v/>
      </c>
      <c r="E47" s="12" t="str">
        <f>IF(A47="","",COUNTIF(Consultas!$C:$C,A47))</f>
        <v/>
      </c>
      <c r="F47" s="25"/>
    </row>
    <row r="48" spans="1:6" ht="22.2" customHeight="1" x14ac:dyDescent="0.3">
      <c r="A48" s="6" t="str">
        <f t="shared" si="0"/>
        <v/>
      </c>
      <c r="B48" s="13"/>
      <c r="C48" s="12" t="str">
        <f>IF(A48="","",COUNTIF(Observaciones!$C:$C,A48))</f>
        <v/>
      </c>
      <c r="D48" s="12" t="str">
        <f>IF(A48="","",COUNTIFS(Consultas!$C:$C,A48,Consultas!$H:$H,"P"))</f>
        <v/>
      </c>
      <c r="E48" s="12" t="str">
        <f>IF(A48="","",COUNTIF(Consultas!$C:$C,A48))</f>
        <v/>
      </c>
      <c r="F48" s="25"/>
    </row>
    <row r="49" spans="1:6" ht="22.2" customHeight="1" x14ac:dyDescent="0.3">
      <c r="A49" s="6" t="str">
        <f t="shared" si="0"/>
        <v/>
      </c>
      <c r="B49" s="13"/>
      <c r="C49" s="12" t="str">
        <f>IF(A49="","",COUNTIF(Observaciones!$C:$C,A49))</f>
        <v/>
      </c>
      <c r="D49" s="12" t="str">
        <f>IF(A49="","",COUNTIFS(Consultas!$C:$C,A49,Consultas!$H:$H,"P"))</f>
        <v/>
      </c>
      <c r="E49" s="12" t="str">
        <f>IF(A49="","",COUNTIF(Consultas!$C:$C,A49))</f>
        <v/>
      </c>
      <c r="F49" s="25"/>
    </row>
    <row r="50" spans="1:6" ht="22.2" customHeight="1" x14ac:dyDescent="0.3">
      <c r="A50" s="6" t="str">
        <f t="shared" si="0"/>
        <v/>
      </c>
      <c r="B50" s="13"/>
      <c r="C50" s="12" t="str">
        <f>IF(A50="","",COUNTIF(Observaciones!$C:$C,A50))</f>
        <v/>
      </c>
      <c r="D50" s="12" t="str">
        <f>IF(A50="","",COUNTIFS(Consultas!$C:$C,A50,Consultas!$H:$H,"P"))</f>
        <v/>
      </c>
      <c r="E50" s="12" t="str">
        <f>IF(A50="","",COUNTIF(Consultas!$C:$C,A50))</f>
        <v/>
      </c>
      <c r="F50" s="25"/>
    </row>
    <row r="51" spans="1:6" ht="22.2" customHeight="1" x14ac:dyDescent="0.3">
      <c r="A51" s="6" t="str">
        <f t="shared" si="0"/>
        <v/>
      </c>
      <c r="B51" s="13"/>
      <c r="C51" s="12" t="str">
        <f>IF(A51="","",COUNTIF(Observaciones!$C:$C,A51))</f>
        <v/>
      </c>
      <c r="D51" s="12" t="str">
        <f>IF(A51="","",COUNTIFS(Consultas!$C:$C,A51,Consultas!$H:$H,"P"))</f>
        <v/>
      </c>
      <c r="E51" s="12" t="str">
        <f>IF(A51="","",COUNTIF(Consultas!$C:$C,A51))</f>
        <v/>
      </c>
      <c r="F51" s="25"/>
    </row>
    <row r="52" spans="1:6" ht="22.2" customHeight="1" x14ac:dyDescent="0.3">
      <c r="A52" s="6" t="str">
        <f t="shared" si="0"/>
        <v/>
      </c>
      <c r="B52" s="13"/>
      <c r="C52" s="12" t="str">
        <f>IF(A52="","",COUNTIF(Observaciones!$C:$C,A52))</f>
        <v/>
      </c>
      <c r="D52" s="12" t="str">
        <f>IF(A52="","",COUNTIFS(Consultas!$C:$C,A52,Consultas!$H:$H,"P"))</f>
        <v/>
      </c>
      <c r="E52" s="12" t="str">
        <f>IF(A52="","",COUNTIF(Consultas!$C:$C,A52))</f>
        <v/>
      </c>
      <c r="F52" s="25"/>
    </row>
    <row r="53" spans="1:6" ht="22.2" customHeight="1" x14ac:dyDescent="0.3">
      <c r="A53" s="6" t="str">
        <f t="shared" si="0"/>
        <v/>
      </c>
      <c r="B53" s="13"/>
      <c r="C53" s="12" t="str">
        <f>IF(A53="","",COUNTIF(Observaciones!$C:$C,A53))</f>
        <v/>
      </c>
      <c r="D53" s="12" t="str">
        <f>IF(A53="","",COUNTIFS(Consultas!$C:$C,A53,Consultas!$H:$H,"P"))</f>
        <v/>
      </c>
      <c r="E53" s="12" t="str">
        <f>IF(A53="","",COUNTIF(Consultas!$C:$C,A53))</f>
        <v/>
      </c>
      <c r="F53" s="25"/>
    </row>
    <row r="54" spans="1:6" ht="22.2" customHeight="1" x14ac:dyDescent="0.3">
      <c r="A54" s="6" t="str">
        <f t="shared" si="0"/>
        <v/>
      </c>
      <c r="B54" s="13"/>
      <c r="C54" s="12" t="str">
        <f>IF(A54="","",COUNTIF(Observaciones!$C:$C,A54))</f>
        <v/>
      </c>
      <c r="D54" s="12" t="str">
        <f>IF(A54="","",COUNTIFS(Consultas!$C:$C,A54,Consultas!$H:$H,"P"))</f>
        <v/>
      </c>
      <c r="E54" s="12" t="str">
        <f>IF(A54="","",COUNTIF(Consultas!$C:$C,A54))</f>
        <v/>
      </c>
      <c r="F54" s="25"/>
    </row>
    <row r="55" spans="1:6" ht="22.2" customHeight="1" x14ac:dyDescent="0.3">
      <c r="A55" s="6" t="str">
        <f t="shared" si="0"/>
        <v/>
      </c>
      <c r="B55" s="13"/>
      <c r="C55" s="12" t="str">
        <f>IF(A55="","",COUNTIF(Observaciones!$C:$C,A55))</f>
        <v/>
      </c>
      <c r="D55" s="12" t="str">
        <f>IF(A55="","",COUNTIFS(Consultas!$C:$C,A55,Consultas!$H:$H,"P"))</f>
        <v/>
      </c>
      <c r="E55" s="12" t="str">
        <f>IF(A55="","",COUNTIF(Consultas!$C:$C,A55))</f>
        <v/>
      </c>
      <c r="F55" s="25"/>
    </row>
    <row r="56" spans="1:6" ht="22.2" customHeight="1" x14ac:dyDescent="0.3">
      <c r="A56" s="6" t="str">
        <f t="shared" si="0"/>
        <v/>
      </c>
      <c r="B56" s="13"/>
      <c r="C56" s="12" t="str">
        <f>IF(A56="","",COUNTIF(Observaciones!$C:$C,A56))</f>
        <v/>
      </c>
      <c r="D56" s="12" t="str">
        <f>IF(A56="","",COUNTIFS(Consultas!$C:$C,A56,Consultas!$H:$H,"P"))</f>
        <v/>
      </c>
      <c r="E56" s="12" t="str">
        <f>IF(A56="","",COUNTIF(Consultas!$C:$C,A56))</f>
        <v/>
      </c>
      <c r="F56" s="25"/>
    </row>
    <row r="57" spans="1:6" ht="22.2" customHeight="1" x14ac:dyDescent="0.3">
      <c r="A57" s="6" t="str">
        <f t="shared" si="0"/>
        <v/>
      </c>
      <c r="B57" s="13"/>
      <c r="C57" s="12" t="str">
        <f>IF(A57="","",COUNTIF(Observaciones!$C:$C,A57))</f>
        <v/>
      </c>
      <c r="D57" s="12" t="str">
        <f>IF(A57="","",COUNTIFS(Consultas!$C:$C,A57,Consultas!$H:$H,"P"))</f>
        <v/>
      </c>
      <c r="E57" s="12" t="str">
        <f>IF(A57="","",COUNTIF(Consultas!$C:$C,A57))</f>
        <v/>
      </c>
      <c r="F57" s="25"/>
    </row>
    <row r="58" spans="1:6" ht="22.2" customHeight="1" x14ac:dyDescent="0.3">
      <c r="A58" s="6" t="str">
        <f t="shared" si="0"/>
        <v/>
      </c>
      <c r="B58" s="13"/>
      <c r="C58" s="12" t="str">
        <f>IF(A58="","",COUNTIF(Observaciones!$C:$C,A58))</f>
        <v/>
      </c>
      <c r="D58" s="12" t="str">
        <f>IF(A58="","",COUNTIFS(Consultas!$C:$C,A58,Consultas!$H:$H,"P"))</f>
        <v/>
      </c>
      <c r="E58" s="12" t="str">
        <f>IF(A58="","",COUNTIF(Consultas!$C:$C,A58))</f>
        <v/>
      </c>
      <c r="F58" s="25"/>
    </row>
    <row r="59" spans="1:6" ht="22.2" customHeight="1" x14ac:dyDescent="0.3">
      <c r="A59" s="6" t="str">
        <f t="shared" si="0"/>
        <v/>
      </c>
      <c r="B59" s="13"/>
      <c r="C59" s="12" t="str">
        <f>IF(A59="","",COUNTIF(Observaciones!$C:$C,A59))</f>
        <v/>
      </c>
      <c r="D59" s="12" t="str">
        <f>IF(A59="","",COUNTIFS(Consultas!$C:$C,A59,Consultas!$H:$H,"P"))</f>
        <v/>
      </c>
      <c r="E59" s="12" t="str">
        <f>IF(A59="","",COUNTIF(Consultas!$C:$C,A59))</f>
        <v/>
      </c>
      <c r="F59" s="25"/>
    </row>
    <row r="60" spans="1:6" ht="22.2" customHeight="1" x14ac:dyDescent="0.3">
      <c r="A60" s="6" t="str">
        <f t="shared" si="0"/>
        <v/>
      </c>
      <c r="B60" s="13"/>
      <c r="C60" s="12" t="str">
        <f>IF(A60="","",COUNTIF(Observaciones!$C:$C,A60))</f>
        <v/>
      </c>
      <c r="D60" s="12" t="str">
        <f>IF(A60="","",COUNTIFS(Consultas!$C:$C,A60,Consultas!$H:$H,"P"))</f>
        <v/>
      </c>
      <c r="E60" s="12" t="str">
        <f>IF(A60="","",COUNTIF(Consultas!$C:$C,A60))</f>
        <v/>
      </c>
      <c r="F60" s="25"/>
    </row>
    <row r="61" spans="1:6" ht="22.2" customHeight="1" x14ac:dyDescent="0.3">
      <c r="A61" s="6" t="str">
        <f t="shared" si="0"/>
        <v/>
      </c>
      <c r="B61" s="13"/>
      <c r="C61" s="12" t="str">
        <f>IF(A61="","",COUNTIF(Observaciones!$C:$C,A61))</f>
        <v/>
      </c>
      <c r="D61" s="12" t="str">
        <f>IF(A61="","",COUNTIFS(Consultas!$C:$C,A61,Consultas!$H:$H,"P"))</f>
        <v/>
      </c>
      <c r="E61" s="12" t="str">
        <f>IF(A61="","",COUNTIF(Consultas!$C:$C,A61))</f>
        <v/>
      </c>
      <c r="F61" s="25"/>
    </row>
    <row r="62" spans="1:6" ht="22.2" customHeight="1" x14ac:dyDescent="0.3">
      <c r="A62" s="6" t="str">
        <f t="shared" si="0"/>
        <v/>
      </c>
      <c r="B62" s="13"/>
      <c r="C62" s="12" t="str">
        <f>IF(A62="","",COUNTIF(Observaciones!$C:$C,A62))</f>
        <v/>
      </c>
      <c r="D62" s="12" t="str">
        <f>IF(A62="","",COUNTIFS(Consultas!$C:$C,A62,Consultas!$H:$H,"P"))</f>
        <v/>
      </c>
      <c r="E62" s="12" t="str">
        <f>IF(A62="","",COUNTIF(Consultas!$C:$C,A62))</f>
        <v/>
      </c>
      <c r="F62" s="25"/>
    </row>
  </sheetData>
  <autoFilter ref="A2:F62" xr:uid="{00000000-0009-0000-0000-000001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2178-DE11-4038-9C01-C0F1BE919CDC}">
  <dimension ref="A1:N147"/>
  <sheetViews>
    <sheetView tabSelected="1" zoomScaleNormal="100" workbookViewId="0">
      <pane xSplit="1" ySplit="2" topLeftCell="B8" activePane="bottomRight" state="frozen"/>
      <selection pane="topRight" activeCell="B1" sqref="B1"/>
      <selection pane="bottomLeft" activeCell="A2" sqref="A2"/>
      <selection pane="bottomRight" activeCell="E17" sqref="E17"/>
    </sheetView>
  </sheetViews>
  <sheetFormatPr baseColWidth="10" defaultColWidth="8.6640625" defaultRowHeight="14.4" x14ac:dyDescent="0.3"/>
  <cols>
    <col min="1" max="1" width="14.88671875" style="16" customWidth="1"/>
    <col min="2" max="2" width="14.109375" style="41" bestFit="1" customWidth="1"/>
    <col min="3" max="3" width="16" style="20" customWidth="1"/>
    <col min="4" max="4" width="14" style="40" customWidth="1"/>
    <col min="5" max="5" width="58.5546875" style="35" customWidth="1"/>
    <col min="6" max="6" width="12" style="10" customWidth="1"/>
    <col min="7" max="7" width="14" style="10" customWidth="1"/>
    <col min="8" max="8" width="9" style="10" customWidth="1"/>
    <col min="9" max="9" width="12.6640625" style="10" customWidth="1"/>
    <col min="10" max="10" width="34" style="10" customWidth="1"/>
    <col min="11" max="11" width="12" style="16" customWidth="1"/>
    <col min="12" max="13" width="9.109375"/>
    <col min="14" max="14" width="13" hidden="1" customWidth="1"/>
  </cols>
  <sheetData>
    <row r="1" spans="1:14" ht="24.6" customHeight="1" x14ac:dyDescent="0.3">
      <c r="A1" s="27" t="s">
        <v>9</v>
      </c>
      <c r="B1" s="27"/>
      <c r="C1" s="27"/>
      <c r="D1" s="27"/>
      <c r="E1" s="27"/>
      <c r="F1" s="27"/>
      <c r="G1" s="27"/>
      <c r="H1" s="27"/>
      <c r="I1" s="27"/>
      <c r="J1" s="27"/>
      <c r="K1" s="27"/>
    </row>
    <row r="2" spans="1:14" ht="31.5" customHeight="1" x14ac:dyDescent="0.3">
      <c r="A2" s="1" t="s">
        <v>10</v>
      </c>
      <c r="B2" s="1" t="s">
        <v>11</v>
      </c>
      <c r="C2" s="1" t="s">
        <v>12</v>
      </c>
      <c r="D2" s="21" t="s">
        <v>13</v>
      </c>
      <c r="E2" s="1" t="s">
        <v>14</v>
      </c>
      <c r="F2" s="1" t="s">
        <v>15</v>
      </c>
      <c r="G2" s="1" t="s">
        <v>16</v>
      </c>
      <c r="H2" s="1" t="s">
        <v>17</v>
      </c>
      <c r="I2" s="1" t="s">
        <v>18</v>
      </c>
      <c r="J2" s="1" t="s">
        <v>19</v>
      </c>
      <c r="K2" s="1" t="s">
        <v>20</v>
      </c>
      <c r="N2" s="2" t="s">
        <v>21</v>
      </c>
    </row>
    <row r="3" spans="1:14" ht="26.4" x14ac:dyDescent="0.3">
      <c r="A3" s="12" t="str">
        <f t="shared" ref="A3:A34" si="0">IF(B3="","","OBS-"&amp;TEXT(ROW()-2,"000"))</f>
        <v>OBS-001</v>
      </c>
      <c r="B3" s="37">
        <f>IFERROR(_xlfn.XLOOKUP(C3,'Registro Visitas'!$A$3:$A$62,'Registro Visitas'!$B$3:$B$62),"")</f>
        <v>46225</v>
      </c>
      <c r="C3" s="9" t="s">
        <v>22</v>
      </c>
      <c r="D3" s="19" t="s">
        <v>23</v>
      </c>
      <c r="E3" s="14" t="s">
        <v>24</v>
      </c>
      <c r="F3" s="8" t="s">
        <v>25</v>
      </c>
      <c r="G3" s="13">
        <v>46234</v>
      </c>
      <c r="H3" s="8" t="s">
        <v>26</v>
      </c>
      <c r="I3" s="13">
        <v>46230</v>
      </c>
      <c r="J3" s="14" t="s">
        <v>27</v>
      </c>
      <c r="K3" s="12">
        <f t="shared" ref="K3:K34" ca="1" si="1">IF(B3="","",IF(I3&lt;&gt;"",I3-B3,TODAY()-B3))</f>
        <v>5</v>
      </c>
      <c r="N3">
        <f>IF($H3="OK",COUNTIF($H$3:$H3,"OK"),"")</f>
        <v>1</v>
      </c>
    </row>
    <row r="4" spans="1:14" ht="26.4" x14ac:dyDescent="0.3">
      <c r="A4" s="12" t="str">
        <f t="shared" si="0"/>
        <v>OBS-002</v>
      </c>
      <c r="B4" s="37">
        <f>IFERROR(_xlfn.XLOOKUP(C4,'Registro Visitas'!$A$3:$A$62,'Registro Visitas'!$B$3:$B$62),"")</f>
        <v>46225</v>
      </c>
      <c r="C4" s="9" t="s">
        <v>22</v>
      </c>
      <c r="D4" s="19" t="s">
        <v>23</v>
      </c>
      <c r="E4" s="14" t="s">
        <v>28</v>
      </c>
      <c r="F4" s="8" t="s">
        <v>25</v>
      </c>
      <c r="G4" s="13">
        <v>46234</v>
      </c>
      <c r="H4" s="8" t="s">
        <v>26</v>
      </c>
      <c r="I4" s="13">
        <v>46233</v>
      </c>
      <c r="J4" s="17" t="s">
        <v>29</v>
      </c>
      <c r="K4" s="12">
        <f t="shared" ca="1" si="1"/>
        <v>8</v>
      </c>
      <c r="N4">
        <f>IF($H4="OK",COUNTIF($H$3:$H4,"OK"),"")</f>
        <v>2</v>
      </c>
    </row>
    <row r="5" spans="1:14" s="3" customFormat="1" ht="26.4" x14ac:dyDescent="0.3">
      <c r="A5" s="12" t="str">
        <f t="shared" si="0"/>
        <v>OBS-003</v>
      </c>
      <c r="B5" s="38">
        <f>IFERROR(_xlfn.XLOOKUP(C5,'Registro Visitas'!$A$3:$A$62,'Registro Visitas'!$B$3:$B$62),"")</f>
        <v>46233</v>
      </c>
      <c r="C5" s="9" t="s">
        <v>30</v>
      </c>
      <c r="D5" s="19" t="s">
        <v>31</v>
      </c>
      <c r="E5" s="17" t="s">
        <v>32</v>
      </c>
      <c r="F5" s="9" t="s">
        <v>25</v>
      </c>
      <c r="G5" s="15">
        <v>46249</v>
      </c>
      <c r="H5" s="9" t="str">
        <f t="shared" ref="H5:H36" si="2">IF(E5="","","P")</f>
        <v>P</v>
      </c>
      <c r="I5" s="15"/>
      <c r="J5" s="14"/>
      <c r="K5" s="23">
        <f t="shared" ca="1" si="1"/>
        <v>1</v>
      </c>
      <c r="N5" s="3" t="str">
        <f>IF($H5="OK",COUNTIF($H$3:$H5,"OK"),"")</f>
        <v/>
      </c>
    </row>
    <row r="6" spans="1:14" s="3" customFormat="1" ht="39.6" x14ac:dyDescent="0.3">
      <c r="A6" s="12" t="str">
        <f t="shared" si="0"/>
        <v>OBS-004</v>
      </c>
      <c r="B6" s="38">
        <f>IFERROR(_xlfn.XLOOKUP(C6,'Registro Visitas'!$A$3:$A$62,'Registro Visitas'!$B$3:$B$62),"")</f>
        <v>46233</v>
      </c>
      <c r="C6" s="9" t="s">
        <v>30</v>
      </c>
      <c r="D6" s="19" t="s">
        <v>31</v>
      </c>
      <c r="E6" s="17" t="s">
        <v>33</v>
      </c>
      <c r="F6" s="9" t="s">
        <v>34</v>
      </c>
      <c r="G6" s="15">
        <v>46240</v>
      </c>
      <c r="H6" s="9" t="str">
        <f t="shared" si="2"/>
        <v>P</v>
      </c>
      <c r="I6" s="15"/>
      <c r="J6" s="14"/>
      <c r="K6" s="23">
        <f t="shared" ca="1" si="1"/>
        <v>1</v>
      </c>
      <c r="N6" s="3" t="str">
        <f>IF($H6="OK",COUNTIF($H$3:$H6,"OK"),"")</f>
        <v/>
      </c>
    </row>
    <row r="7" spans="1:14" s="3" customFormat="1" ht="26.4" x14ac:dyDescent="0.3">
      <c r="A7" s="12" t="str">
        <f t="shared" si="0"/>
        <v>OBS-005</v>
      </c>
      <c r="B7" s="38">
        <f>IFERROR(_xlfn.XLOOKUP(C7,'Registro Visitas'!$A$3:$A$62,'Registro Visitas'!$B$3:$B$62),"")</f>
        <v>46233</v>
      </c>
      <c r="C7" s="9" t="s">
        <v>30</v>
      </c>
      <c r="D7" s="19" t="s">
        <v>31</v>
      </c>
      <c r="E7" s="17" t="s">
        <v>35</v>
      </c>
      <c r="F7" s="9" t="s">
        <v>25</v>
      </c>
      <c r="G7" s="15">
        <v>46240</v>
      </c>
      <c r="H7" s="9" t="str">
        <f t="shared" si="2"/>
        <v>P</v>
      </c>
      <c r="I7" s="15"/>
      <c r="J7" s="14"/>
      <c r="K7" s="23">
        <f t="shared" ca="1" si="1"/>
        <v>1</v>
      </c>
      <c r="N7" s="3" t="str">
        <f>IF($H7="OK",COUNTIF($H$3:$H7,"OK"),"")</f>
        <v/>
      </c>
    </row>
    <row r="8" spans="1:14" s="3" customFormat="1" ht="39.6" x14ac:dyDescent="0.3">
      <c r="A8" s="12" t="str">
        <f t="shared" si="0"/>
        <v>OBS-006</v>
      </c>
      <c r="B8" s="38">
        <f>IFERROR(_xlfn.XLOOKUP(C8,'Registro Visitas'!$A$3:$A$62,'Registro Visitas'!$B$3:$B$62),"")</f>
        <v>46233</v>
      </c>
      <c r="C8" s="9" t="s">
        <v>30</v>
      </c>
      <c r="D8" s="19" t="s">
        <v>31</v>
      </c>
      <c r="E8" s="17" t="s">
        <v>36</v>
      </c>
      <c r="F8" s="19" t="s">
        <v>25</v>
      </c>
      <c r="G8" s="15">
        <v>46240</v>
      </c>
      <c r="H8" s="9" t="str">
        <f t="shared" si="2"/>
        <v>P</v>
      </c>
      <c r="I8" s="15"/>
      <c r="J8" s="14"/>
      <c r="K8" s="23">
        <f t="shared" ca="1" si="1"/>
        <v>1</v>
      </c>
      <c r="N8" s="3" t="str">
        <f>IF($H8="OK",COUNTIF($H$3:$H8,"OK"),"")</f>
        <v/>
      </c>
    </row>
    <row r="9" spans="1:14" s="3" customFormat="1" ht="26.4" x14ac:dyDescent="0.3">
      <c r="A9" s="12" t="str">
        <f t="shared" si="0"/>
        <v>OBS-007</v>
      </c>
      <c r="B9" s="38">
        <f>IFERROR(_xlfn.XLOOKUP(C9,'Registro Visitas'!$A$3:$A$62,'Registro Visitas'!$B$3:$B$62),"")</f>
        <v>46233</v>
      </c>
      <c r="C9" s="9" t="s">
        <v>30</v>
      </c>
      <c r="D9" s="19" t="s">
        <v>31</v>
      </c>
      <c r="E9" s="17" t="s">
        <v>37</v>
      </c>
      <c r="F9" s="9" t="s">
        <v>25</v>
      </c>
      <c r="G9" s="15">
        <v>46240</v>
      </c>
      <c r="H9" s="9" t="str">
        <f t="shared" si="2"/>
        <v>P</v>
      </c>
      <c r="I9" s="15"/>
      <c r="J9" s="14"/>
      <c r="K9" s="23">
        <f t="shared" ca="1" si="1"/>
        <v>1</v>
      </c>
      <c r="N9" s="3" t="str">
        <f>IF($H9="OK",COUNTIF($H$3:$H9,"OK"),"")</f>
        <v/>
      </c>
    </row>
    <row r="10" spans="1:14" s="3" customFormat="1" ht="26.4" x14ac:dyDescent="0.3">
      <c r="A10" s="12" t="str">
        <f t="shared" si="0"/>
        <v>OBS-008</v>
      </c>
      <c r="B10" s="38">
        <f>IFERROR(_xlfn.XLOOKUP(C10,'Registro Visitas'!$A$3:$A$62,'Registro Visitas'!$B$3:$B$62),"")</f>
        <v>46233</v>
      </c>
      <c r="C10" s="9" t="s">
        <v>30</v>
      </c>
      <c r="D10" s="19" t="s">
        <v>31</v>
      </c>
      <c r="E10" s="17" t="s">
        <v>38</v>
      </c>
      <c r="F10" s="9" t="s">
        <v>25</v>
      </c>
      <c r="G10" s="15">
        <v>46240</v>
      </c>
      <c r="H10" s="9" t="str">
        <f t="shared" si="2"/>
        <v>P</v>
      </c>
      <c r="I10" s="15"/>
      <c r="J10" s="14"/>
      <c r="K10" s="23">
        <f t="shared" ca="1" si="1"/>
        <v>1</v>
      </c>
      <c r="N10" s="3" t="str">
        <f>IF($H10="OK",COUNTIF($H$3:$H10,"OK"),"")</f>
        <v/>
      </c>
    </row>
    <row r="11" spans="1:14" s="3" customFormat="1" ht="26.4" x14ac:dyDescent="0.3">
      <c r="A11" s="12" t="str">
        <f t="shared" si="0"/>
        <v>OBS-009</v>
      </c>
      <c r="B11" s="38">
        <f>IFERROR(_xlfn.XLOOKUP(C11,'Registro Visitas'!$A$3:$A$62,'Registro Visitas'!$B$3:$B$62),"")</f>
        <v>46233</v>
      </c>
      <c r="C11" s="9" t="s">
        <v>30</v>
      </c>
      <c r="D11" s="19" t="s">
        <v>31</v>
      </c>
      <c r="E11" s="17" t="s">
        <v>39</v>
      </c>
      <c r="F11" s="9" t="s">
        <v>25</v>
      </c>
      <c r="G11" s="15">
        <v>46240</v>
      </c>
      <c r="H11" s="9" t="str">
        <f t="shared" si="2"/>
        <v>P</v>
      </c>
      <c r="I11" s="15"/>
      <c r="J11" s="14"/>
      <c r="K11" s="23">
        <f t="shared" ca="1" si="1"/>
        <v>1</v>
      </c>
      <c r="N11" s="3" t="str">
        <f>IF($H11="OK",COUNTIF($H$3:$H11,"OK"),"")</f>
        <v/>
      </c>
    </row>
    <row r="12" spans="1:14" s="3" customFormat="1" ht="26.4" x14ac:dyDescent="0.3">
      <c r="A12" s="12" t="str">
        <f t="shared" si="0"/>
        <v>OBS-010</v>
      </c>
      <c r="B12" s="38">
        <f>IFERROR(_xlfn.XLOOKUP(C12,'Registro Visitas'!$A$3:$A$62,'Registro Visitas'!$B$3:$B$62),"")</f>
        <v>46233</v>
      </c>
      <c r="C12" s="9" t="s">
        <v>30</v>
      </c>
      <c r="D12" s="19" t="s">
        <v>23</v>
      </c>
      <c r="E12" s="17" t="s">
        <v>40</v>
      </c>
      <c r="F12" s="9" t="s">
        <v>34</v>
      </c>
      <c r="G12" s="15">
        <v>46240</v>
      </c>
      <c r="H12" s="9" t="str">
        <f t="shared" si="2"/>
        <v>P</v>
      </c>
      <c r="I12" s="15"/>
      <c r="J12" s="14"/>
      <c r="K12" s="23">
        <f t="shared" ca="1" si="1"/>
        <v>1</v>
      </c>
      <c r="N12" s="3" t="str">
        <f>IF($H12="OK",COUNTIF($H$3:$H12,"OK"),"")</f>
        <v/>
      </c>
    </row>
    <row r="13" spans="1:14" s="3" customFormat="1" ht="39.6" x14ac:dyDescent="0.3">
      <c r="A13" s="12" t="str">
        <f t="shared" si="0"/>
        <v>OBS-011</v>
      </c>
      <c r="B13" s="38">
        <f>IFERROR(_xlfn.XLOOKUP(C13,'Registro Visitas'!$A$3:$A$62,'Registro Visitas'!$B$3:$B$62),"")</f>
        <v>46233</v>
      </c>
      <c r="C13" s="9" t="s">
        <v>90</v>
      </c>
      <c r="D13" s="19" t="s">
        <v>23</v>
      </c>
      <c r="E13" s="14" t="s">
        <v>97</v>
      </c>
      <c r="F13" s="9" t="s">
        <v>34</v>
      </c>
      <c r="G13" s="15">
        <v>46240</v>
      </c>
      <c r="H13" s="9" t="str">
        <f t="shared" si="2"/>
        <v>P</v>
      </c>
      <c r="I13" s="15"/>
      <c r="J13" s="14"/>
      <c r="K13" s="23">
        <f t="shared" ca="1" si="1"/>
        <v>1</v>
      </c>
      <c r="N13" s="3" t="str">
        <f>IF($H13="OK",COUNTIF($H$3:$H13,"OK"),"")</f>
        <v/>
      </c>
    </row>
    <row r="14" spans="1:14" s="3" customFormat="1" ht="39.6" x14ac:dyDescent="0.3">
      <c r="A14" s="12" t="str">
        <f t="shared" si="0"/>
        <v>OBS-012</v>
      </c>
      <c r="B14" s="38">
        <f>IFERROR(_xlfn.XLOOKUP(C14,'Registro Visitas'!$A$3:$A$62,'Registro Visitas'!$B$3:$B$62),"")</f>
        <v>46233</v>
      </c>
      <c r="C14" s="9" t="s">
        <v>90</v>
      </c>
      <c r="D14" s="19" t="s">
        <v>31</v>
      </c>
      <c r="E14" s="14" t="s">
        <v>99</v>
      </c>
      <c r="F14" s="9" t="s">
        <v>25</v>
      </c>
      <c r="G14" s="15">
        <v>46240</v>
      </c>
      <c r="H14" s="9" t="str">
        <f t="shared" si="2"/>
        <v>P</v>
      </c>
      <c r="I14" s="15"/>
      <c r="J14" s="14"/>
      <c r="K14" s="23">
        <f t="shared" ca="1" si="1"/>
        <v>1</v>
      </c>
      <c r="N14" s="3" t="str">
        <f>IF($H14="OK",COUNTIF($H$3:$H14,"OK"),"")</f>
        <v/>
      </c>
    </row>
    <row r="15" spans="1:14" s="3" customFormat="1" ht="66" x14ac:dyDescent="0.3">
      <c r="A15" s="12" t="str">
        <f t="shared" si="0"/>
        <v>OBS-013</v>
      </c>
      <c r="B15" s="38">
        <f>IFERROR(_xlfn.XLOOKUP(C15,'Registro Visitas'!$A$3:$A$62,'Registro Visitas'!$B$3:$B$62),"")</f>
        <v>46233</v>
      </c>
      <c r="C15" s="9" t="s">
        <v>90</v>
      </c>
      <c r="D15" s="19" t="s">
        <v>103</v>
      </c>
      <c r="E15" s="14" t="s">
        <v>101</v>
      </c>
      <c r="F15" s="9" t="s">
        <v>102</v>
      </c>
      <c r="G15" s="15">
        <v>46209</v>
      </c>
      <c r="H15" s="9" t="str">
        <f t="shared" si="2"/>
        <v>P</v>
      </c>
      <c r="I15" s="15"/>
      <c r="J15" s="14"/>
      <c r="K15" s="23">
        <f t="shared" ca="1" si="1"/>
        <v>1</v>
      </c>
      <c r="N15" s="3" t="str">
        <f>IF($H15="OK",COUNTIF($H$3:$H15,"OK"),"")</f>
        <v/>
      </c>
    </row>
    <row r="16" spans="1:14" s="3" customFormat="1" ht="15" customHeight="1" x14ac:dyDescent="0.3">
      <c r="A16" s="12" t="str">
        <f t="shared" si="0"/>
        <v/>
      </c>
      <c r="B16" s="38" t="str">
        <f>IFERROR(_xlfn.XLOOKUP(C16,'Registro Visitas'!$A$3:$A$62,'Registro Visitas'!$B$3:$B$62),"")</f>
        <v/>
      </c>
      <c r="C16" s="9"/>
      <c r="D16" s="19"/>
      <c r="E16" s="14"/>
      <c r="F16" s="9"/>
      <c r="G16" s="15"/>
      <c r="H16" s="9" t="str">
        <f t="shared" si="2"/>
        <v/>
      </c>
      <c r="I16" s="15"/>
      <c r="J16" s="14"/>
      <c r="K16" s="23" t="str">
        <f t="shared" ca="1" si="1"/>
        <v/>
      </c>
      <c r="N16" s="3" t="str">
        <f>IF($H16="OK",COUNTIF($H$3:$H16,"OK"),"")</f>
        <v/>
      </c>
    </row>
    <row r="17" spans="1:14" s="3" customFormat="1" ht="15" customHeight="1" x14ac:dyDescent="0.3">
      <c r="A17" s="12" t="str">
        <f t="shared" si="0"/>
        <v/>
      </c>
      <c r="B17" s="38" t="str">
        <f>IFERROR(_xlfn.XLOOKUP(C17,'Registro Visitas'!$A$3:$A$62,'Registro Visitas'!$B$3:$B$62),"")</f>
        <v/>
      </c>
      <c r="C17" s="9"/>
      <c r="D17" s="19"/>
      <c r="E17" s="14"/>
      <c r="F17" s="9"/>
      <c r="G17" s="15"/>
      <c r="H17" s="9" t="str">
        <f t="shared" si="2"/>
        <v/>
      </c>
      <c r="I17" s="15"/>
      <c r="J17" s="14"/>
      <c r="K17" s="23" t="str">
        <f t="shared" ca="1" si="1"/>
        <v/>
      </c>
      <c r="N17" s="3" t="str">
        <f>IF($H17="OK",COUNTIF($H$3:$H17,"OK"),"")</f>
        <v/>
      </c>
    </row>
    <row r="18" spans="1:14" s="3" customFormat="1" ht="15" customHeight="1" x14ac:dyDescent="0.3">
      <c r="A18" s="12" t="str">
        <f t="shared" si="0"/>
        <v/>
      </c>
      <c r="B18" s="38" t="str">
        <f>IFERROR(_xlfn.XLOOKUP(C18,'Registro Visitas'!$A$3:$A$62,'Registro Visitas'!$B$3:$B$62),"")</f>
        <v/>
      </c>
      <c r="C18" s="9"/>
      <c r="D18" s="19"/>
      <c r="E18" s="14"/>
      <c r="F18" s="9"/>
      <c r="G18" s="15"/>
      <c r="H18" s="9" t="str">
        <f t="shared" si="2"/>
        <v/>
      </c>
      <c r="I18" s="15"/>
      <c r="J18" s="14"/>
      <c r="K18" s="23" t="str">
        <f t="shared" ca="1" si="1"/>
        <v/>
      </c>
      <c r="N18" s="3" t="str">
        <f>IF($H18="OK",COUNTIF($H$3:$H18,"OK"),"")</f>
        <v/>
      </c>
    </row>
    <row r="19" spans="1:14" s="3" customFormat="1" ht="15" customHeight="1" x14ac:dyDescent="0.3">
      <c r="A19" s="12" t="str">
        <f t="shared" si="0"/>
        <v/>
      </c>
      <c r="B19" s="38" t="str">
        <f>IFERROR(_xlfn.XLOOKUP(C19,'Registro Visitas'!$A$3:$A$62,'Registro Visitas'!$B$3:$B$62),"")</f>
        <v/>
      </c>
      <c r="C19" s="9"/>
      <c r="D19" s="19"/>
      <c r="E19" s="14"/>
      <c r="F19" s="9"/>
      <c r="G19" s="15"/>
      <c r="H19" s="9" t="str">
        <f t="shared" si="2"/>
        <v/>
      </c>
      <c r="I19" s="15"/>
      <c r="J19" s="14"/>
      <c r="K19" s="23" t="str">
        <f t="shared" ca="1" si="1"/>
        <v/>
      </c>
      <c r="N19" s="3" t="str">
        <f>IF($H19="OK",COUNTIF($H$3:$H19,"OK"),"")</f>
        <v/>
      </c>
    </row>
    <row r="20" spans="1:14" s="3" customFormat="1" ht="15" customHeight="1" x14ac:dyDescent="0.3">
      <c r="A20" s="12" t="str">
        <f t="shared" si="0"/>
        <v/>
      </c>
      <c r="B20" s="38" t="str">
        <f>IFERROR(_xlfn.XLOOKUP(C20,'Registro Visitas'!$A$3:$A$62,'Registro Visitas'!$B$3:$B$62),"")</f>
        <v/>
      </c>
      <c r="C20" s="9"/>
      <c r="D20" s="19"/>
      <c r="E20" s="14"/>
      <c r="F20" s="9"/>
      <c r="G20" s="15"/>
      <c r="H20" s="9" t="str">
        <f t="shared" si="2"/>
        <v/>
      </c>
      <c r="I20" s="15"/>
      <c r="J20" s="14"/>
      <c r="K20" s="23" t="str">
        <f t="shared" ca="1" si="1"/>
        <v/>
      </c>
      <c r="N20" s="3" t="str">
        <f>IF($H20="OK",COUNTIF($H$3:$H20,"OK"),"")</f>
        <v/>
      </c>
    </row>
    <row r="21" spans="1:14" s="3" customFormat="1" ht="15" customHeight="1" x14ac:dyDescent="0.3">
      <c r="A21" s="12" t="str">
        <f t="shared" si="0"/>
        <v/>
      </c>
      <c r="B21" s="38" t="str">
        <f>IFERROR(_xlfn.XLOOKUP(C21,'Registro Visitas'!$A$3:$A$62,'Registro Visitas'!$B$3:$B$62),"")</f>
        <v/>
      </c>
      <c r="C21" s="9"/>
      <c r="D21" s="19"/>
      <c r="E21" s="14"/>
      <c r="F21" s="9"/>
      <c r="G21" s="15"/>
      <c r="H21" s="9" t="str">
        <f t="shared" si="2"/>
        <v/>
      </c>
      <c r="I21" s="15"/>
      <c r="J21" s="14"/>
      <c r="K21" s="23" t="str">
        <f t="shared" ca="1" si="1"/>
        <v/>
      </c>
      <c r="N21" s="3" t="str">
        <f>IF($H21="OK",COUNTIF($H$3:$H21,"OK"),"")</f>
        <v/>
      </c>
    </row>
    <row r="22" spans="1:14" s="3" customFormat="1" ht="15" customHeight="1" x14ac:dyDescent="0.3">
      <c r="A22" s="12" t="str">
        <f t="shared" si="0"/>
        <v/>
      </c>
      <c r="B22" s="38" t="str">
        <f>IFERROR(_xlfn.XLOOKUP(C22,'Registro Visitas'!$A$3:$A$62,'Registro Visitas'!$B$3:$B$62),"")</f>
        <v/>
      </c>
      <c r="C22" s="9"/>
      <c r="D22" s="19"/>
      <c r="E22" s="14"/>
      <c r="F22" s="9"/>
      <c r="G22" s="15"/>
      <c r="H22" s="9" t="str">
        <f t="shared" si="2"/>
        <v/>
      </c>
      <c r="I22" s="15"/>
      <c r="J22" s="14"/>
      <c r="K22" s="23" t="str">
        <f t="shared" ca="1" si="1"/>
        <v/>
      </c>
      <c r="N22" s="3" t="str">
        <f>IF($H22="OK",COUNTIF($H$3:$H22,"OK"),"")</f>
        <v/>
      </c>
    </row>
    <row r="23" spans="1:14" s="3" customFormat="1" ht="15" customHeight="1" x14ac:dyDescent="0.3">
      <c r="A23" s="12" t="str">
        <f t="shared" si="0"/>
        <v/>
      </c>
      <c r="B23" s="38" t="str">
        <f>IFERROR(_xlfn.XLOOKUP(C23,'Registro Visitas'!$A$3:$A$62,'Registro Visitas'!$B$3:$B$62),"")</f>
        <v/>
      </c>
      <c r="C23" s="9"/>
      <c r="D23" s="19"/>
      <c r="E23" s="14"/>
      <c r="F23" s="9"/>
      <c r="G23" s="15"/>
      <c r="H23" s="9" t="str">
        <f t="shared" si="2"/>
        <v/>
      </c>
      <c r="I23" s="15"/>
      <c r="J23" s="14"/>
      <c r="K23" s="23" t="str">
        <f t="shared" ca="1" si="1"/>
        <v/>
      </c>
      <c r="N23" s="3" t="str">
        <f>IF($H23="OK",COUNTIF($H$3:$H23,"OK"),"")</f>
        <v/>
      </c>
    </row>
    <row r="24" spans="1:14" s="3" customFormat="1" ht="15" customHeight="1" x14ac:dyDescent="0.3">
      <c r="A24" s="12" t="str">
        <f t="shared" si="0"/>
        <v/>
      </c>
      <c r="B24" s="38" t="str">
        <f>IFERROR(_xlfn.XLOOKUP(C24,'Registro Visitas'!$A$3:$A$62,'Registro Visitas'!$B$3:$B$62),"")</f>
        <v/>
      </c>
      <c r="C24" s="9"/>
      <c r="D24" s="19"/>
      <c r="E24" s="14"/>
      <c r="F24" s="9"/>
      <c r="G24" s="15"/>
      <c r="H24" s="9" t="str">
        <f t="shared" si="2"/>
        <v/>
      </c>
      <c r="I24" s="15"/>
      <c r="J24" s="14"/>
      <c r="K24" s="23" t="str">
        <f t="shared" ca="1" si="1"/>
        <v/>
      </c>
      <c r="N24" s="3" t="str">
        <f>IF($H24="OK",COUNTIF($H$3:$H24,"OK"),"")</f>
        <v/>
      </c>
    </row>
    <row r="25" spans="1:14" s="3" customFormat="1" ht="15" customHeight="1" x14ac:dyDescent="0.3">
      <c r="A25" s="12" t="str">
        <f t="shared" si="0"/>
        <v/>
      </c>
      <c r="B25" s="38" t="str">
        <f>IFERROR(_xlfn.XLOOKUP(C25,'Registro Visitas'!$A$3:$A$62,'Registro Visitas'!$B$3:$B$62),"")</f>
        <v/>
      </c>
      <c r="C25" s="9"/>
      <c r="D25" s="19"/>
      <c r="E25" s="14"/>
      <c r="F25" s="9"/>
      <c r="G25" s="15"/>
      <c r="H25" s="9" t="str">
        <f t="shared" si="2"/>
        <v/>
      </c>
      <c r="I25" s="15"/>
      <c r="J25" s="14"/>
      <c r="K25" s="23" t="str">
        <f t="shared" ca="1" si="1"/>
        <v/>
      </c>
      <c r="N25" s="3" t="str">
        <f>IF($H25="OK",COUNTIF($H$3:$H25,"OK"),"")</f>
        <v/>
      </c>
    </row>
    <row r="26" spans="1:14" s="3" customFormat="1" ht="15" customHeight="1" x14ac:dyDescent="0.3">
      <c r="A26" s="12" t="str">
        <f t="shared" si="0"/>
        <v/>
      </c>
      <c r="B26" s="38" t="str">
        <f>IFERROR(_xlfn.XLOOKUP(C26,'Registro Visitas'!$A$3:$A$62,'Registro Visitas'!$B$3:$B$62),"")</f>
        <v/>
      </c>
      <c r="C26" s="9"/>
      <c r="D26" s="19"/>
      <c r="E26" s="14"/>
      <c r="F26" s="9"/>
      <c r="G26" s="15"/>
      <c r="H26" s="9" t="str">
        <f t="shared" si="2"/>
        <v/>
      </c>
      <c r="I26" s="15"/>
      <c r="J26" s="14"/>
      <c r="K26" s="23" t="str">
        <f t="shared" ca="1" si="1"/>
        <v/>
      </c>
      <c r="N26" s="3" t="str">
        <f>IF($H26="OK",COUNTIF($H$3:$H26,"OK"),"")</f>
        <v/>
      </c>
    </row>
    <row r="27" spans="1:14" s="3" customFormat="1" ht="15" customHeight="1" x14ac:dyDescent="0.3">
      <c r="A27" s="12" t="str">
        <f t="shared" si="0"/>
        <v/>
      </c>
      <c r="B27" s="38" t="str">
        <f>IFERROR(_xlfn.XLOOKUP(C27,'Registro Visitas'!$A$3:$A$62,'Registro Visitas'!$B$3:$B$62),"")</f>
        <v/>
      </c>
      <c r="C27" s="9"/>
      <c r="D27" s="19"/>
      <c r="E27" s="14"/>
      <c r="F27" s="9"/>
      <c r="G27" s="15"/>
      <c r="H27" s="9" t="str">
        <f t="shared" si="2"/>
        <v/>
      </c>
      <c r="I27" s="15"/>
      <c r="J27" s="14"/>
      <c r="K27" s="23" t="str">
        <f t="shared" ca="1" si="1"/>
        <v/>
      </c>
      <c r="N27" s="3" t="str">
        <f>IF($H27="OK",COUNTIF($H$3:$H27,"OK"),"")</f>
        <v/>
      </c>
    </row>
    <row r="28" spans="1:14" s="3" customFormat="1" ht="15" customHeight="1" x14ac:dyDescent="0.3">
      <c r="A28" s="12" t="str">
        <f t="shared" si="0"/>
        <v/>
      </c>
      <c r="B28" s="38" t="str">
        <f>IFERROR(_xlfn.XLOOKUP(C28,'Registro Visitas'!$A$3:$A$62,'Registro Visitas'!$B$3:$B$62),"")</f>
        <v/>
      </c>
      <c r="C28" s="9"/>
      <c r="D28" s="19"/>
      <c r="E28" s="14"/>
      <c r="F28" s="9"/>
      <c r="G28" s="15"/>
      <c r="H28" s="9" t="str">
        <f t="shared" si="2"/>
        <v/>
      </c>
      <c r="I28" s="15"/>
      <c r="J28" s="14"/>
      <c r="K28" s="23" t="str">
        <f t="shared" ca="1" si="1"/>
        <v/>
      </c>
      <c r="N28" s="3" t="str">
        <f>IF($H28="OK",COUNTIF($H$3:$H28,"OK"),"")</f>
        <v/>
      </c>
    </row>
    <row r="29" spans="1:14" s="3" customFormat="1" ht="15" customHeight="1" x14ac:dyDescent="0.3">
      <c r="A29" s="12" t="str">
        <f t="shared" si="0"/>
        <v/>
      </c>
      <c r="B29" s="38" t="str">
        <f>IFERROR(_xlfn.XLOOKUP(C29,'Registro Visitas'!$A$3:$A$62,'Registro Visitas'!$B$3:$B$62),"")</f>
        <v/>
      </c>
      <c r="C29" s="9"/>
      <c r="D29" s="19"/>
      <c r="E29" s="14"/>
      <c r="F29" s="9"/>
      <c r="G29" s="15"/>
      <c r="H29" s="9" t="str">
        <f t="shared" si="2"/>
        <v/>
      </c>
      <c r="I29" s="15"/>
      <c r="J29" s="14"/>
      <c r="K29" s="23" t="str">
        <f t="shared" ca="1" si="1"/>
        <v/>
      </c>
      <c r="N29" s="3" t="str">
        <f>IF($H29="OK",COUNTIF($H$3:$H29,"OK"),"")</f>
        <v/>
      </c>
    </row>
    <row r="30" spans="1:14" s="3" customFormat="1" ht="15" customHeight="1" x14ac:dyDescent="0.3">
      <c r="A30" s="12" t="str">
        <f t="shared" si="0"/>
        <v/>
      </c>
      <c r="B30" s="38" t="str">
        <f>IFERROR(_xlfn.XLOOKUP(C30,'Registro Visitas'!$A$3:$A$62,'Registro Visitas'!$B$3:$B$62),"")</f>
        <v/>
      </c>
      <c r="C30" s="9"/>
      <c r="D30" s="19"/>
      <c r="E30" s="14"/>
      <c r="F30" s="9"/>
      <c r="G30" s="15"/>
      <c r="H30" s="9" t="str">
        <f t="shared" si="2"/>
        <v/>
      </c>
      <c r="I30" s="15"/>
      <c r="J30" s="14"/>
      <c r="K30" s="23" t="str">
        <f t="shared" ca="1" si="1"/>
        <v/>
      </c>
      <c r="N30" s="3" t="str">
        <f>IF($H30="OK",COUNTIF($H$3:$H30,"OK"),"")</f>
        <v/>
      </c>
    </row>
    <row r="31" spans="1:14" s="3" customFormat="1" ht="15" customHeight="1" x14ac:dyDescent="0.3">
      <c r="A31" s="12" t="str">
        <f t="shared" si="0"/>
        <v/>
      </c>
      <c r="B31" s="38" t="str">
        <f>IFERROR(_xlfn.XLOOKUP(C31,'Registro Visitas'!$A$3:$A$62,'Registro Visitas'!$B$3:$B$62),"")</f>
        <v/>
      </c>
      <c r="C31" s="9"/>
      <c r="D31" s="19"/>
      <c r="E31" s="14"/>
      <c r="F31" s="9"/>
      <c r="G31" s="15"/>
      <c r="H31" s="9" t="str">
        <f t="shared" si="2"/>
        <v/>
      </c>
      <c r="I31" s="15"/>
      <c r="J31" s="14"/>
      <c r="K31" s="23" t="str">
        <f t="shared" ca="1" si="1"/>
        <v/>
      </c>
      <c r="N31" s="3" t="str">
        <f>IF($H31="OK",COUNTIF($H$3:$H31,"OK"),"")</f>
        <v/>
      </c>
    </row>
    <row r="32" spans="1:14" s="3" customFormat="1" ht="15" customHeight="1" x14ac:dyDescent="0.3">
      <c r="A32" s="12" t="str">
        <f t="shared" si="0"/>
        <v/>
      </c>
      <c r="B32" s="38" t="str">
        <f>IFERROR(_xlfn.XLOOKUP(C32,'Registro Visitas'!$A$3:$A$62,'Registro Visitas'!$B$3:$B$62),"")</f>
        <v/>
      </c>
      <c r="C32" s="9"/>
      <c r="D32" s="19"/>
      <c r="E32" s="14"/>
      <c r="F32" s="9"/>
      <c r="G32" s="15"/>
      <c r="H32" s="9" t="str">
        <f t="shared" si="2"/>
        <v/>
      </c>
      <c r="I32" s="15"/>
      <c r="J32" s="14"/>
      <c r="K32" s="23" t="str">
        <f t="shared" ca="1" si="1"/>
        <v/>
      </c>
      <c r="N32" s="3" t="str">
        <f>IF($H32="OK",COUNTIF($H$3:$H32,"OK"),"")</f>
        <v/>
      </c>
    </row>
    <row r="33" spans="1:14" s="3" customFormat="1" ht="15" customHeight="1" x14ac:dyDescent="0.3">
      <c r="A33" s="12" t="str">
        <f t="shared" si="0"/>
        <v/>
      </c>
      <c r="B33" s="38" t="str">
        <f>IFERROR(_xlfn.XLOOKUP(C33,'Registro Visitas'!$A$3:$A$62,'Registro Visitas'!$B$3:$B$62),"")</f>
        <v/>
      </c>
      <c r="C33" s="9"/>
      <c r="D33" s="19"/>
      <c r="E33" s="14"/>
      <c r="F33" s="9"/>
      <c r="G33" s="15"/>
      <c r="H33" s="9" t="str">
        <f t="shared" si="2"/>
        <v/>
      </c>
      <c r="I33" s="15"/>
      <c r="J33" s="14"/>
      <c r="K33" s="23" t="str">
        <f t="shared" ca="1" si="1"/>
        <v/>
      </c>
      <c r="N33" s="3" t="str">
        <f>IF($H33="OK",COUNTIF($H$3:$H33,"OK"),"")</f>
        <v/>
      </c>
    </row>
    <row r="34" spans="1:14" s="3" customFormat="1" ht="15" customHeight="1" x14ac:dyDescent="0.3">
      <c r="A34" s="12" t="str">
        <f t="shared" si="0"/>
        <v/>
      </c>
      <c r="B34" s="38" t="str">
        <f>IFERROR(_xlfn.XLOOKUP(C34,'Registro Visitas'!$A$3:$A$62,'Registro Visitas'!$B$3:$B$62),"")</f>
        <v/>
      </c>
      <c r="C34" s="9"/>
      <c r="D34" s="19"/>
      <c r="E34" s="14"/>
      <c r="F34" s="9"/>
      <c r="G34" s="15"/>
      <c r="H34" s="9" t="str">
        <f t="shared" si="2"/>
        <v/>
      </c>
      <c r="I34" s="15"/>
      <c r="J34" s="14"/>
      <c r="K34" s="23" t="str">
        <f t="shared" ca="1" si="1"/>
        <v/>
      </c>
      <c r="N34" s="3" t="str">
        <f>IF($H34="OK",COUNTIF($H$3:$H34,"OK"),"")</f>
        <v/>
      </c>
    </row>
    <row r="35" spans="1:14" s="3" customFormat="1" ht="15" customHeight="1" x14ac:dyDescent="0.3">
      <c r="A35" s="12" t="str">
        <f t="shared" ref="A35:A66" si="3">IF(B35="","","OBS-"&amp;TEXT(ROW()-2,"000"))</f>
        <v/>
      </c>
      <c r="B35" s="38" t="str">
        <f>IFERROR(_xlfn.XLOOKUP(C35,'Registro Visitas'!$A$3:$A$62,'Registro Visitas'!$B$3:$B$62),"")</f>
        <v/>
      </c>
      <c r="C35" s="9"/>
      <c r="D35" s="19"/>
      <c r="E35" s="14"/>
      <c r="F35" s="9"/>
      <c r="G35" s="15"/>
      <c r="H35" s="9" t="str">
        <f t="shared" si="2"/>
        <v/>
      </c>
      <c r="I35" s="15"/>
      <c r="J35" s="14"/>
      <c r="K35" s="23" t="str">
        <f t="shared" ref="K35:K66" ca="1" si="4">IF(B35="","",IF(I35&lt;&gt;"",I35-B35,TODAY()-B35))</f>
        <v/>
      </c>
      <c r="N35" s="3" t="str">
        <f>IF($H35="OK",COUNTIF($H$3:$H35,"OK"),"")</f>
        <v/>
      </c>
    </row>
    <row r="36" spans="1:14" s="3" customFormat="1" ht="15" customHeight="1" x14ac:dyDescent="0.3">
      <c r="A36" s="12" t="str">
        <f t="shared" si="3"/>
        <v/>
      </c>
      <c r="B36" s="38" t="str">
        <f>IFERROR(_xlfn.XLOOKUP(C36,'Registro Visitas'!$A$3:$A$62,'Registro Visitas'!$B$3:$B$62),"")</f>
        <v/>
      </c>
      <c r="C36" s="9"/>
      <c r="D36" s="19"/>
      <c r="E36" s="14"/>
      <c r="F36" s="9"/>
      <c r="G36" s="15"/>
      <c r="H36" s="9" t="str">
        <f t="shared" si="2"/>
        <v/>
      </c>
      <c r="I36" s="15"/>
      <c r="J36" s="14"/>
      <c r="K36" s="23" t="str">
        <f t="shared" ca="1" si="4"/>
        <v/>
      </c>
      <c r="N36" s="3" t="str">
        <f>IF($H36="OK",COUNTIF($H$3:$H36,"OK"),"")</f>
        <v/>
      </c>
    </row>
    <row r="37" spans="1:14" s="3" customFormat="1" ht="15" customHeight="1" x14ac:dyDescent="0.3">
      <c r="A37" s="12" t="str">
        <f t="shared" si="3"/>
        <v/>
      </c>
      <c r="B37" s="38" t="str">
        <f>IFERROR(_xlfn.XLOOKUP(C37,'Registro Visitas'!$A$3:$A$62,'Registro Visitas'!$B$3:$B$62),"")</f>
        <v/>
      </c>
      <c r="C37" s="9"/>
      <c r="D37" s="19"/>
      <c r="E37" s="14"/>
      <c r="F37" s="9"/>
      <c r="G37" s="15"/>
      <c r="H37" s="9" t="str">
        <f t="shared" ref="H37:H68" si="5">IF(E37="","","P")</f>
        <v/>
      </c>
      <c r="I37" s="15"/>
      <c r="J37" s="14"/>
      <c r="K37" s="23" t="str">
        <f t="shared" ca="1" si="4"/>
        <v/>
      </c>
      <c r="N37" s="3" t="str">
        <f>IF($H37="OK",COUNTIF($H$3:$H37,"OK"),"")</f>
        <v/>
      </c>
    </row>
    <row r="38" spans="1:14" s="3" customFormat="1" ht="15" customHeight="1" x14ac:dyDescent="0.3">
      <c r="A38" s="12" t="str">
        <f t="shared" si="3"/>
        <v/>
      </c>
      <c r="B38" s="38" t="str">
        <f>IFERROR(_xlfn.XLOOKUP(C38,'Registro Visitas'!$A$3:$A$62,'Registro Visitas'!$B$3:$B$62),"")</f>
        <v/>
      </c>
      <c r="C38" s="9"/>
      <c r="D38" s="19"/>
      <c r="E38" s="14"/>
      <c r="F38" s="9"/>
      <c r="G38" s="15"/>
      <c r="H38" s="9" t="str">
        <f t="shared" si="5"/>
        <v/>
      </c>
      <c r="I38" s="15"/>
      <c r="J38" s="14"/>
      <c r="K38" s="23" t="str">
        <f t="shared" ca="1" si="4"/>
        <v/>
      </c>
      <c r="N38" s="3" t="str">
        <f>IF($H38="OK",COUNTIF($H$3:$H38,"OK"),"")</f>
        <v/>
      </c>
    </row>
    <row r="39" spans="1:14" s="3" customFormat="1" ht="15" customHeight="1" x14ac:dyDescent="0.3">
      <c r="A39" s="12" t="str">
        <f t="shared" si="3"/>
        <v/>
      </c>
      <c r="B39" s="38" t="str">
        <f>IFERROR(_xlfn.XLOOKUP(C39,'Registro Visitas'!$A$3:$A$62,'Registro Visitas'!$B$3:$B$62),"")</f>
        <v/>
      </c>
      <c r="C39" s="9"/>
      <c r="D39" s="19"/>
      <c r="E39" s="14"/>
      <c r="F39" s="9"/>
      <c r="G39" s="15"/>
      <c r="H39" s="9" t="str">
        <f t="shared" si="5"/>
        <v/>
      </c>
      <c r="I39" s="15"/>
      <c r="J39" s="14"/>
      <c r="K39" s="23" t="str">
        <f t="shared" ca="1" si="4"/>
        <v/>
      </c>
      <c r="N39" s="3" t="str">
        <f>IF($H39="OK",COUNTIF($H$3:$H39,"OK"),"")</f>
        <v/>
      </c>
    </row>
    <row r="40" spans="1:14" s="3" customFormat="1" ht="15" customHeight="1" x14ac:dyDescent="0.3">
      <c r="A40" s="12" t="str">
        <f t="shared" si="3"/>
        <v/>
      </c>
      <c r="B40" s="38" t="str">
        <f>IFERROR(_xlfn.XLOOKUP(C40,'Registro Visitas'!$A$3:$A$62,'Registro Visitas'!$B$3:$B$62),"")</f>
        <v/>
      </c>
      <c r="C40" s="9"/>
      <c r="D40" s="19"/>
      <c r="E40" s="14"/>
      <c r="F40" s="9"/>
      <c r="G40" s="15"/>
      <c r="H40" s="9" t="str">
        <f t="shared" si="5"/>
        <v/>
      </c>
      <c r="I40" s="15"/>
      <c r="J40" s="14"/>
      <c r="K40" s="23" t="str">
        <f t="shared" ca="1" si="4"/>
        <v/>
      </c>
      <c r="N40" s="3" t="str">
        <f>IF($H40="OK",COUNTIF($H$3:$H40,"OK"),"")</f>
        <v/>
      </c>
    </row>
    <row r="41" spans="1:14" s="3" customFormat="1" ht="15" customHeight="1" x14ac:dyDescent="0.3">
      <c r="A41" s="12" t="str">
        <f t="shared" si="3"/>
        <v/>
      </c>
      <c r="B41" s="38" t="str">
        <f>IFERROR(_xlfn.XLOOKUP(C41,'Registro Visitas'!$A$3:$A$62,'Registro Visitas'!$B$3:$B$62),"")</f>
        <v/>
      </c>
      <c r="C41" s="9"/>
      <c r="D41" s="19"/>
      <c r="E41" s="14"/>
      <c r="F41" s="9"/>
      <c r="G41" s="15"/>
      <c r="H41" s="9" t="str">
        <f t="shared" si="5"/>
        <v/>
      </c>
      <c r="I41" s="15"/>
      <c r="J41" s="14"/>
      <c r="K41" s="23" t="str">
        <f t="shared" ca="1" si="4"/>
        <v/>
      </c>
      <c r="N41" s="3" t="str">
        <f>IF($H41="OK",COUNTIF($H$3:$H41,"OK"),"")</f>
        <v/>
      </c>
    </row>
    <row r="42" spans="1:14" s="3" customFormat="1" ht="15" customHeight="1" x14ac:dyDescent="0.3">
      <c r="A42" s="12" t="str">
        <f t="shared" si="3"/>
        <v/>
      </c>
      <c r="B42" s="38" t="str">
        <f>IFERROR(_xlfn.XLOOKUP(C42,'Registro Visitas'!$A$3:$A$62,'Registro Visitas'!$B$3:$B$62),"")</f>
        <v/>
      </c>
      <c r="C42" s="9"/>
      <c r="D42" s="19"/>
      <c r="E42" s="14"/>
      <c r="F42" s="9"/>
      <c r="G42" s="15"/>
      <c r="H42" s="9" t="str">
        <f t="shared" si="5"/>
        <v/>
      </c>
      <c r="I42" s="15"/>
      <c r="J42" s="14"/>
      <c r="K42" s="23" t="str">
        <f t="shared" ca="1" si="4"/>
        <v/>
      </c>
      <c r="N42" s="3" t="str">
        <f>IF($H42="OK",COUNTIF($H$3:$H42,"OK"),"")</f>
        <v/>
      </c>
    </row>
    <row r="43" spans="1:14" s="3" customFormat="1" ht="15" customHeight="1" x14ac:dyDescent="0.3">
      <c r="A43" s="12" t="str">
        <f t="shared" si="3"/>
        <v/>
      </c>
      <c r="B43" s="38" t="str">
        <f>IFERROR(_xlfn.XLOOKUP(C43,'Registro Visitas'!$A$3:$A$62,'Registro Visitas'!$B$3:$B$62),"")</f>
        <v/>
      </c>
      <c r="C43" s="9"/>
      <c r="D43" s="19"/>
      <c r="E43" s="14"/>
      <c r="F43" s="9"/>
      <c r="G43" s="15"/>
      <c r="H43" s="9" t="str">
        <f t="shared" si="5"/>
        <v/>
      </c>
      <c r="I43" s="15"/>
      <c r="J43" s="14"/>
      <c r="K43" s="23" t="str">
        <f t="shared" ca="1" si="4"/>
        <v/>
      </c>
      <c r="N43" s="3" t="str">
        <f>IF($H43="OK",COUNTIF($H$3:$H43,"OK"),"")</f>
        <v/>
      </c>
    </row>
    <row r="44" spans="1:14" s="3" customFormat="1" ht="15" customHeight="1" x14ac:dyDescent="0.3">
      <c r="A44" s="12" t="str">
        <f t="shared" si="3"/>
        <v/>
      </c>
      <c r="B44" s="38" t="str">
        <f>IFERROR(_xlfn.XLOOKUP(C44,'Registro Visitas'!$A$3:$A$62,'Registro Visitas'!$B$3:$B$62),"")</f>
        <v/>
      </c>
      <c r="C44" s="9"/>
      <c r="D44" s="19"/>
      <c r="E44" s="14"/>
      <c r="F44" s="9"/>
      <c r="G44" s="15"/>
      <c r="H44" s="9" t="str">
        <f t="shared" si="5"/>
        <v/>
      </c>
      <c r="I44" s="15"/>
      <c r="J44" s="14"/>
      <c r="K44" s="23" t="str">
        <f t="shared" ca="1" si="4"/>
        <v/>
      </c>
      <c r="N44" s="3" t="str">
        <f>IF($H44="OK",COUNTIF($H$3:$H44,"OK"),"")</f>
        <v/>
      </c>
    </row>
    <row r="45" spans="1:14" s="3" customFormat="1" ht="15" customHeight="1" x14ac:dyDescent="0.3">
      <c r="A45" s="12" t="str">
        <f t="shared" si="3"/>
        <v/>
      </c>
      <c r="B45" s="38" t="str">
        <f>IFERROR(_xlfn.XLOOKUP(C45,'Registro Visitas'!$A$3:$A$62,'Registro Visitas'!$B$3:$B$62),"")</f>
        <v/>
      </c>
      <c r="C45" s="9"/>
      <c r="D45" s="19"/>
      <c r="E45" s="14"/>
      <c r="F45" s="9"/>
      <c r="G45" s="15"/>
      <c r="H45" s="9" t="str">
        <f t="shared" si="5"/>
        <v/>
      </c>
      <c r="I45" s="15"/>
      <c r="J45" s="14"/>
      <c r="K45" s="23" t="str">
        <f t="shared" ca="1" si="4"/>
        <v/>
      </c>
      <c r="N45" s="3" t="str">
        <f>IF($H45="OK",COUNTIF($H$3:$H45,"OK"),"")</f>
        <v/>
      </c>
    </row>
    <row r="46" spans="1:14" s="3" customFormat="1" ht="15" customHeight="1" x14ac:dyDescent="0.3">
      <c r="A46" s="12" t="str">
        <f t="shared" si="3"/>
        <v/>
      </c>
      <c r="B46" s="38" t="str">
        <f>IFERROR(_xlfn.XLOOKUP(C46,'Registro Visitas'!$A$3:$A$62,'Registro Visitas'!$B$3:$B$62),"")</f>
        <v/>
      </c>
      <c r="C46" s="9"/>
      <c r="D46" s="19"/>
      <c r="E46" s="14"/>
      <c r="F46" s="9"/>
      <c r="G46" s="15"/>
      <c r="H46" s="9" t="str">
        <f t="shared" si="5"/>
        <v/>
      </c>
      <c r="I46" s="15"/>
      <c r="J46" s="14"/>
      <c r="K46" s="23" t="str">
        <f t="shared" ca="1" si="4"/>
        <v/>
      </c>
      <c r="N46" s="3" t="str">
        <f>IF($H46="OK",COUNTIF($H$3:$H46,"OK"),"")</f>
        <v/>
      </c>
    </row>
    <row r="47" spans="1:14" s="3" customFormat="1" ht="15" customHeight="1" x14ac:dyDescent="0.3">
      <c r="A47" s="12" t="str">
        <f t="shared" si="3"/>
        <v/>
      </c>
      <c r="B47" s="38" t="str">
        <f>IFERROR(_xlfn.XLOOKUP(C47,'Registro Visitas'!$A$3:$A$62,'Registro Visitas'!$B$3:$B$62),"")</f>
        <v/>
      </c>
      <c r="C47" s="9"/>
      <c r="D47" s="19"/>
      <c r="E47" s="14"/>
      <c r="F47" s="9"/>
      <c r="G47" s="15"/>
      <c r="H47" s="9" t="str">
        <f t="shared" si="5"/>
        <v/>
      </c>
      <c r="I47" s="15"/>
      <c r="J47" s="14"/>
      <c r="K47" s="23" t="str">
        <f t="shared" ca="1" si="4"/>
        <v/>
      </c>
      <c r="N47" s="3" t="str">
        <f>IF($H47="OK",COUNTIF($H$3:$H47,"OK"),"")</f>
        <v/>
      </c>
    </row>
    <row r="48" spans="1:14" s="3" customFormat="1" ht="15" customHeight="1" x14ac:dyDescent="0.3">
      <c r="A48" s="12" t="str">
        <f t="shared" si="3"/>
        <v/>
      </c>
      <c r="B48" s="38" t="str">
        <f>IFERROR(_xlfn.XLOOKUP(C48,'Registro Visitas'!$A$3:$A$62,'Registro Visitas'!$B$3:$B$62),"")</f>
        <v/>
      </c>
      <c r="C48" s="9"/>
      <c r="D48" s="19"/>
      <c r="E48" s="14"/>
      <c r="F48" s="9"/>
      <c r="G48" s="15"/>
      <c r="H48" s="9" t="str">
        <f t="shared" si="5"/>
        <v/>
      </c>
      <c r="I48" s="15"/>
      <c r="J48" s="14"/>
      <c r="K48" s="23" t="str">
        <f t="shared" ca="1" si="4"/>
        <v/>
      </c>
      <c r="N48" s="3" t="str">
        <f>IF($H48="OK",COUNTIF($H$3:$H48,"OK"),"")</f>
        <v/>
      </c>
    </row>
    <row r="49" spans="1:14" s="3" customFormat="1" ht="15" customHeight="1" x14ac:dyDescent="0.3">
      <c r="A49" s="12" t="str">
        <f t="shared" si="3"/>
        <v/>
      </c>
      <c r="B49" s="38" t="str">
        <f>IFERROR(_xlfn.XLOOKUP(C49,'Registro Visitas'!$A$3:$A$62,'Registro Visitas'!$B$3:$B$62),"")</f>
        <v/>
      </c>
      <c r="C49" s="9"/>
      <c r="D49" s="19"/>
      <c r="E49" s="14"/>
      <c r="F49" s="9"/>
      <c r="G49" s="15"/>
      <c r="H49" s="9" t="str">
        <f t="shared" si="5"/>
        <v/>
      </c>
      <c r="I49" s="15"/>
      <c r="J49" s="14"/>
      <c r="K49" s="23" t="str">
        <f t="shared" ca="1" si="4"/>
        <v/>
      </c>
      <c r="N49" s="3" t="str">
        <f>IF($H49="OK",COUNTIF($H$3:$H49,"OK"),"")</f>
        <v/>
      </c>
    </row>
    <row r="50" spans="1:14" s="3" customFormat="1" ht="15" customHeight="1" x14ac:dyDescent="0.3">
      <c r="A50" s="12" t="str">
        <f t="shared" si="3"/>
        <v/>
      </c>
      <c r="B50" s="38" t="str">
        <f>IFERROR(_xlfn.XLOOKUP(C50,'Registro Visitas'!$A$3:$A$62,'Registro Visitas'!$B$3:$B$62),"")</f>
        <v/>
      </c>
      <c r="C50" s="9"/>
      <c r="D50" s="19"/>
      <c r="E50" s="14"/>
      <c r="F50" s="9"/>
      <c r="G50" s="15"/>
      <c r="H50" s="9" t="str">
        <f t="shared" si="5"/>
        <v/>
      </c>
      <c r="I50" s="15"/>
      <c r="J50" s="14"/>
      <c r="K50" s="23" t="str">
        <f t="shared" ca="1" si="4"/>
        <v/>
      </c>
      <c r="N50" s="3" t="str">
        <f>IF($H50="OK",COUNTIF($H$3:$H50,"OK"),"")</f>
        <v/>
      </c>
    </row>
    <row r="51" spans="1:14" s="3" customFormat="1" ht="15" customHeight="1" x14ac:dyDescent="0.3">
      <c r="A51" s="12" t="str">
        <f t="shared" si="3"/>
        <v/>
      </c>
      <c r="B51" s="38" t="str">
        <f>IFERROR(_xlfn.XLOOKUP(C51,'Registro Visitas'!$A$3:$A$62,'Registro Visitas'!$B$3:$B$62),"")</f>
        <v/>
      </c>
      <c r="C51" s="9"/>
      <c r="D51" s="19"/>
      <c r="E51" s="14"/>
      <c r="F51" s="9"/>
      <c r="G51" s="15"/>
      <c r="H51" s="9" t="str">
        <f t="shared" si="5"/>
        <v/>
      </c>
      <c r="I51" s="15"/>
      <c r="J51" s="14"/>
      <c r="K51" s="23" t="str">
        <f t="shared" ca="1" si="4"/>
        <v/>
      </c>
      <c r="N51" s="3" t="str">
        <f>IF($H51="OK",COUNTIF($H$3:$H51,"OK"),"")</f>
        <v/>
      </c>
    </row>
    <row r="52" spans="1:14" s="3" customFormat="1" ht="15" customHeight="1" x14ac:dyDescent="0.3">
      <c r="A52" s="12" t="str">
        <f t="shared" si="3"/>
        <v/>
      </c>
      <c r="B52" s="38" t="str">
        <f>IFERROR(_xlfn.XLOOKUP(C52,'Registro Visitas'!$A$3:$A$62,'Registro Visitas'!$B$3:$B$62),"")</f>
        <v/>
      </c>
      <c r="C52" s="9"/>
      <c r="D52" s="19"/>
      <c r="E52" s="14"/>
      <c r="F52" s="9"/>
      <c r="G52" s="15"/>
      <c r="H52" s="9" t="str">
        <f t="shared" si="5"/>
        <v/>
      </c>
      <c r="I52" s="15"/>
      <c r="J52" s="14"/>
      <c r="K52" s="23" t="str">
        <f t="shared" ca="1" si="4"/>
        <v/>
      </c>
      <c r="N52" s="3" t="str">
        <f>IF($H52="OK",COUNTIF($H$3:$H52,"OK"),"")</f>
        <v/>
      </c>
    </row>
    <row r="53" spans="1:14" s="3" customFormat="1" ht="15" customHeight="1" x14ac:dyDescent="0.3">
      <c r="A53" s="12" t="str">
        <f t="shared" si="3"/>
        <v/>
      </c>
      <c r="B53" s="38" t="str">
        <f>IFERROR(_xlfn.XLOOKUP(C53,'Registro Visitas'!$A$3:$A$62,'Registro Visitas'!$B$3:$B$62),"")</f>
        <v/>
      </c>
      <c r="C53" s="9"/>
      <c r="D53" s="19"/>
      <c r="E53" s="14"/>
      <c r="F53" s="9"/>
      <c r="G53" s="15"/>
      <c r="H53" s="9" t="str">
        <f t="shared" si="5"/>
        <v/>
      </c>
      <c r="I53" s="15"/>
      <c r="J53" s="14"/>
      <c r="K53" s="23" t="str">
        <f t="shared" ca="1" si="4"/>
        <v/>
      </c>
      <c r="N53" s="3" t="str">
        <f>IF($H53="OK",COUNTIF($H$3:$H53,"OK"),"")</f>
        <v/>
      </c>
    </row>
    <row r="54" spans="1:14" s="3" customFormat="1" ht="15" customHeight="1" x14ac:dyDescent="0.3">
      <c r="A54" s="12" t="str">
        <f t="shared" si="3"/>
        <v/>
      </c>
      <c r="B54" s="38" t="str">
        <f>IFERROR(_xlfn.XLOOKUP(C54,'Registro Visitas'!$A$3:$A$62,'Registro Visitas'!$B$3:$B$62),"")</f>
        <v/>
      </c>
      <c r="C54" s="9"/>
      <c r="D54" s="19"/>
      <c r="E54" s="14"/>
      <c r="F54" s="9"/>
      <c r="G54" s="15"/>
      <c r="H54" s="9" t="str">
        <f t="shared" si="5"/>
        <v/>
      </c>
      <c r="I54" s="15"/>
      <c r="J54" s="14"/>
      <c r="K54" s="23" t="str">
        <f t="shared" ca="1" si="4"/>
        <v/>
      </c>
      <c r="N54" s="3" t="str">
        <f>IF($H54="OK",COUNTIF($H$3:$H54,"OK"),"")</f>
        <v/>
      </c>
    </row>
    <row r="55" spans="1:14" s="3" customFormat="1" ht="15" customHeight="1" x14ac:dyDescent="0.3">
      <c r="A55" s="12" t="str">
        <f t="shared" si="3"/>
        <v/>
      </c>
      <c r="B55" s="38" t="str">
        <f>IFERROR(_xlfn.XLOOKUP(C55,'Registro Visitas'!$A$3:$A$62,'Registro Visitas'!$B$3:$B$62),"")</f>
        <v/>
      </c>
      <c r="C55" s="9"/>
      <c r="D55" s="19"/>
      <c r="E55" s="14"/>
      <c r="F55" s="9"/>
      <c r="G55" s="15"/>
      <c r="H55" s="9" t="str">
        <f t="shared" si="5"/>
        <v/>
      </c>
      <c r="I55" s="15"/>
      <c r="J55" s="14"/>
      <c r="K55" s="23" t="str">
        <f t="shared" ca="1" si="4"/>
        <v/>
      </c>
      <c r="N55" s="3" t="str">
        <f>IF($H55="OK",COUNTIF($H$3:$H55,"OK"),"")</f>
        <v/>
      </c>
    </row>
    <row r="56" spans="1:14" s="3" customFormat="1" ht="15" customHeight="1" x14ac:dyDescent="0.3">
      <c r="A56" s="12" t="str">
        <f t="shared" si="3"/>
        <v/>
      </c>
      <c r="B56" s="38" t="str">
        <f>IFERROR(_xlfn.XLOOKUP(C56,'Registro Visitas'!$A$3:$A$62,'Registro Visitas'!$B$3:$B$62),"")</f>
        <v/>
      </c>
      <c r="C56" s="9"/>
      <c r="D56" s="19"/>
      <c r="E56" s="14"/>
      <c r="F56" s="9"/>
      <c r="G56" s="15"/>
      <c r="H56" s="9" t="str">
        <f t="shared" si="5"/>
        <v/>
      </c>
      <c r="I56" s="15"/>
      <c r="J56" s="14"/>
      <c r="K56" s="23" t="str">
        <f t="shared" ca="1" si="4"/>
        <v/>
      </c>
      <c r="N56" s="3" t="str">
        <f>IF($H56="OK",COUNTIF($H$3:$H56,"OK"),"")</f>
        <v/>
      </c>
    </row>
    <row r="57" spans="1:14" s="3" customFormat="1" ht="15" customHeight="1" x14ac:dyDescent="0.3">
      <c r="A57" s="12" t="str">
        <f t="shared" si="3"/>
        <v/>
      </c>
      <c r="B57" s="38" t="str">
        <f>IFERROR(_xlfn.XLOOKUP(C57,'Registro Visitas'!$A$3:$A$62,'Registro Visitas'!$B$3:$B$62),"")</f>
        <v/>
      </c>
      <c r="C57" s="9"/>
      <c r="D57" s="19"/>
      <c r="E57" s="14"/>
      <c r="F57" s="9"/>
      <c r="G57" s="15"/>
      <c r="H57" s="9" t="str">
        <f t="shared" si="5"/>
        <v/>
      </c>
      <c r="I57" s="15"/>
      <c r="J57" s="14"/>
      <c r="K57" s="23" t="str">
        <f t="shared" ca="1" si="4"/>
        <v/>
      </c>
      <c r="N57" s="3" t="str">
        <f>IF($H57="OK",COUNTIF($H$3:$H57,"OK"),"")</f>
        <v/>
      </c>
    </row>
    <row r="58" spans="1:14" s="3" customFormat="1" ht="15" customHeight="1" x14ac:dyDescent="0.3">
      <c r="A58" s="12" t="str">
        <f t="shared" si="3"/>
        <v/>
      </c>
      <c r="B58" s="38" t="str">
        <f>IFERROR(_xlfn.XLOOKUP(C58,'Registro Visitas'!$A$3:$A$62,'Registro Visitas'!$B$3:$B$62),"")</f>
        <v/>
      </c>
      <c r="C58" s="9"/>
      <c r="D58" s="19"/>
      <c r="E58" s="14"/>
      <c r="F58" s="9"/>
      <c r="G58" s="15"/>
      <c r="H58" s="9" t="str">
        <f t="shared" si="5"/>
        <v/>
      </c>
      <c r="I58" s="15"/>
      <c r="J58" s="14"/>
      <c r="K58" s="23" t="str">
        <f t="shared" ca="1" si="4"/>
        <v/>
      </c>
      <c r="N58" s="3" t="str">
        <f>IF($H58="OK",COUNTIF($H$3:$H58,"OK"),"")</f>
        <v/>
      </c>
    </row>
    <row r="59" spans="1:14" s="3" customFormat="1" ht="15" customHeight="1" x14ac:dyDescent="0.3">
      <c r="A59" s="12" t="str">
        <f t="shared" si="3"/>
        <v/>
      </c>
      <c r="B59" s="38" t="str">
        <f>IFERROR(_xlfn.XLOOKUP(C59,'Registro Visitas'!$A$3:$A$62,'Registro Visitas'!$B$3:$B$62),"")</f>
        <v/>
      </c>
      <c r="C59" s="9"/>
      <c r="D59" s="19"/>
      <c r="E59" s="14"/>
      <c r="F59" s="9"/>
      <c r="G59" s="15"/>
      <c r="H59" s="9" t="str">
        <f t="shared" si="5"/>
        <v/>
      </c>
      <c r="I59" s="15"/>
      <c r="J59" s="14"/>
      <c r="K59" s="23" t="str">
        <f t="shared" ca="1" si="4"/>
        <v/>
      </c>
      <c r="N59" s="3" t="str">
        <f>IF($H59="OK",COUNTIF($H$3:$H59,"OK"),"")</f>
        <v/>
      </c>
    </row>
    <row r="60" spans="1:14" s="3" customFormat="1" ht="15" customHeight="1" x14ac:dyDescent="0.3">
      <c r="A60" s="12" t="str">
        <f t="shared" si="3"/>
        <v/>
      </c>
      <c r="B60" s="38" t="str">
        <f>IFERROR(_xlfn.XLOOKUP(C60,'Registro Visitas'!$A$3:$A$62,'Registro Visitas'!$B$3:$B$62),"")</f>
        <v/>
      </c>
      <c r="C60" s="9"/>
      <c r="D60" s="19"/>
      <c r="E60" s="14"/>
      <c r="F60" s="9"/>
      <c r="G60" s="15"/>
      <c r="H60" s="9" t="str">
        <f t="shared" si="5"/>
        <v/>
      </c>
      <c r="I60" s="15"/>
      <c r="J60" s="14"/>
      <c r="K60" s="23" t="str">
        <f t="shared" ca="1" si="4"/>
        <v/>
      </c>
      <c r="N60" s="3" t="str">
        <f>IF($H60="OK",COUNTIF($H$3:$H60,"OK"),"")</f>
        <v/>
      </c>
    </row>
    <row r="61" spans="1:14" s="3" customFormat="1" ht="15" customHeight="1" x14ac:dyDescent="0.3">
      <c r="A61" s="12" t="str">
        <f t="shared" si="3"/>
        <v/>
      </c>
      <c r="B61" s="38" t="str">
        <f>IFERROR(_xlfn.XLOOKUP(C61,'Registro Visitas'!$A$3:$A$62,'Registro Visitas'!$B$3:$B$62),"")</f>
        <v/>
      </c>
      <c r="C61" s="9"/>
      <c r="D61" s="19"/>
      <c r="E61" s="14"/>
      <c r="F61" s="9"/>
      <c r="G61" s="15"/>
      <c r="H61" s="9" t="str">
        <f t="shared" si="5"/>
        <v/>
      </c>
      <c r="I61" s="15"/>
      <c r="J61" s="14"/>
      <c r="K61" s="23" t="str">
        <f t="shared" ca="1" si="4"/>
        <v/>
      </c>
      <c r="N61" s="3" t="str">
        <f>IF($H61="OK",COUNTIF($H$3:$H61,"OK"),"")</f>
        <v/>
      </c>
    </row>
    <row r="62" spans="1:14" s="3" customFormat="1" ht="15" customHeight="1" x14ac:dyDescent="0.3">
      <c r="A62" s="12" t="str">
        <f t="shared" si="3"/>
        <v/>
      </c>
      <c r="B62" s="38" t="str">
        <f>IFERROR(_xlfn.XLOOKUP(C62,'Registro Visitas'!$A$3:$A$62,'Registro Visitas'!$B$3:$B$62),"")</f>
        <v/>
      </c>
      <c r="C62" s="9"/>
      <c r="D62" s="19"/>
      <c r="E62" s="14"/>
      <c r="F62" s="9"/>
      <c r="G62" s="15"/>
      <c r="H62" s="9" t="str">
        <f t="shared" si="5"/>
        <v/>
      </c>
      <c r="I62" s="15"/>
      <c r="J62" s="14"/>
      <c r="K62" s="23" t="str">
        <f t="shared" ca="1" si="4"/>
        <v/>
      </c>
      <c r="N62" s="3" t="str">
        <f>IF($H62="OK",COUNTIF($H$3:$H62,"OK"),"")</f>
        <v/>
      </c>
    </row>
    <row r="63" spans="1:14" s="3" customFormat="1" ht="15" customHeight="1" x14ac:dyDescent="0.3">
      <c r="A63" s="12" t="str">
        <f t="shared" si="3"/>
        <v/>
      </c>
      <c r="B63" s="38" t="str">
        <f>IFERROR(_xlfn.XLOOKUP(C63,'Registro Visitas'!$A$3:$A$62,'Registro Visitas'!$B$3:$B$62),"")</f>
        <v/>
      </c>
      <c r="C63" s="9"/>
      <c r="D63" s="19"/>
      <c r="E63" s="14"/>
      <c r="F63" s="9"/>
      <c r="G63" s="15"/>
      <c r="H63" s="9" t="str">
        <f t="shared" si="5"/>
        <v/>
      </c>
      <c r="I63" s="15"/>
      <c r="J63" s="14"/>
      <c r="K63" s="23" t="str">
        <f t="shared" ca="1" si="4"/>
        <v/>
      </c>
      <c r="N63" s="3" t="str">
        <f>IF($H63="OK",COUNTIF($H$3:$H63,"OK"),"")</f>
        <v/>
      </c>
    </row>
    <row r="64" spans="1:14" s="3" customFormat="1" ht="15" customHeight="1" x14ac:dyDescent="0.3">
      <c r="A64" s="12" t="str">
        <f t="shared" si="3"/>
        <v/>
      </c>
      <c r="B64" s="38" t="str">
        <f>IFERROR(_xlfn.XLOOKUP(C64,'Registro Visitas'!$A$3:$A$62,'Registro Visitas'!$B$3:$B$62),"")</f>
        <v/>
      </c>
      <c r="C64" s="9"/>
      <c r="D64" s="19"/>
      <c r="E64" s="14"/>
      <c r="F64" s="9"/>
      <c r="G64" s="15"/>
      <c r="H64" s="9" t="str">
        <f t="shared" si="5"/>
        <v/>
      </c>
      <c r="I64" s="15"/>
      <c r="J64" s="14"/>
      <c r="K64" s="23" t="str">
        <f t="shared" ca="1" si="4"/>
        <v/>
      </c>
      <c r="N64" s="3" t="str">
        <f>IF($H64="OK",COUNTIF($H$3:$H64,"OK"),"")</f>
        <v/>
      </c>
    </row>
    <row r="65" spans="1:14" s="3" customFormat="1" ht="15" customHeight="1" x14ac:dyDescent="0.3">
      <c r="A65" s="12" t="str">
        <f t="shared" si="3"/>
        <v/>
      </c>
      <c r="B65" s="38" t="str">
        <f>IFERROR(_xlfn.XLOOKUP(C65,'Registro Visitas'!$A$3:$A$62,'Registro Visitas'!$B$3:$B$62),"")</f>
        <v/>
      </c>
      <c r="C65" s="9"/>
      <c r="D65" s="19"/>
      <c r="E65" s="14"/>
      <c r="F65" s="9"/>
      <c r="G65" s="15"/>
      <c r="H65" s="9" t="str">
        <f t="shared" si="5"/>
        <v/>
      </c>
      <c r="I65" s="15"/>
      <c r="J65" s="14"/>
      <c r="K65" s="23" t="str">
        <f t="shared" ca="1" si="4"/>
        <v/>
      </c>
      <c r="N65" s="3" t="str">
        <f>IF($H65="OK",COUNTIF($H$3:$H65,"OK"),"")</f>
        <v/>
      </c>
    </row>
    <row r="66" spans="1:14" s="3" customFormat="1" ht="15" customHeight="1" x14ac:dyDescent="0.3">
      <c r="A66" s="12" t="str">
        <f t="shared" si="3"/>
        <v/>
      </c>
      <c r="B66" s="38" t="str">
        <f>IFERROR(_xlfn.XLOOKUP(C66,'Registro Visitas'!$A$3:$A$62,'Registro Visitas'!$B$3:$B$62),"")</f>
        <v/>
      </c>
      <c r="C66" s="9"/>
      <c r="D66" s="19"/>
      <c r="E66" s="14"/>
      <c r="F66" s="9"/>
      <c r="G66" s="15"/>
      <c r="H66" s="9" t="str">
        <f t="shared" si="5"/>
        <v/>
      </c>
      <c r="I66" s="15"/>
      <c r="J66" s="14"/>
      <c r="K66" s="23" t="str">
        <f t="shared" ca="1" si="4"/>
        <v/>
      </c>
      <c r="N66" s="3" t="str">
        <f>IF($H66="OK",COUNTIF($H$3:$H66,"OK"),"")</f>
        <v/>
      </c>
    </row>
    <row r="67" spans="1:14" s="3" customFormat="1" ht="15" customHeight="1" x14ac:dyDescent="0.3">
      <c r="A67" s="12" t="str">
        <f t="shared" ref="A67:A98" si="6">IF(B67="","","OBS-"&amp;TEXT(ROW()-2,"000"))</f>
        <v/>
      </c>
      <c r="B67" s="38" t="str">
        <f>IFERROR(_xlfn.XLOOKUP(C67,'Registro Visitas'!$A$3:$A$62,'Registro Visitas'!$B$3:$B$62),"")</f>
        <v/>
      </c>
      <c r="C67" s="9"/>
      <c r="D67" s="19"/>
      <c r="E67" s="14"/>
      <c r="F67" s="9"/>
      <c r="G67" s="15"/>
      <c r="H67" s="9" t="str">
        <f t="shared" si="5"/>
        <v/>
      </c>
      <c r="I67" s="15"/>
      <c r="J67" s="14"/>
      <c r="K67" s="23" t="str">
        <f t="shared" ref="K67:K98" ca="1" si="7">IF(B67="","",IF(I67&lt;&gt;"",I67-B67,TODAY()-B67))</f>
        <v/>
      </c>
      <c r="N67" s="3" t="str">
        <f>IF($H67="OK",COUNTIF($H$3:$H67,"OK"),"")</f>
        <v/>
      </c>
    </row>
    <row r="68" spans="1:14" s="3" customFormat="1" ht="15" customHeight="1" x14ac:dyDescent="0.3">
      <c r="A68" s="12" t="str">
        <f t="shared" si="6"/>
        <v/>
      </c>
      <c r="B68" s="38" t="str">
        <f>IFERROR(_xlfn.XLOOKUP(C68,'Registro Visitas'!$A$3:$A$62,'Registro Visitas'!$B$3:$B$62),"")</f>
        <v/>
      </c>
      <c r="C68" s="9"/>
      <c r="D68" s="19"/>
      <c r="E68" s="14"/>
      <c r="F68" s="9"/>
      <c r="G68" s="15"/>
      <c r="H68" s="9" t="str">
        <f t="shared" si="5"/>
        <v/>
      </c>
      <c r="I68" s="15"/>
      <c r="J68" s="14"/>
      <c r="K68" s="23" t="str">
        <f t="shared" ca="1" si="7"/>
        <v/>
      </c>
      <c r="N68" s="3" t="str">
        <f>IF($H68="OK",COUNTIF($H$3:$H68,"OK"),"")</f>
        <v/>
      </c>
    </row>
    <row r="69" spans="1:14" s="3" customFormat="1" ht="15" customHeight="1" x14ac:dyDescent="0.3">
      <c r="A69" s="12" t="str">
        <f t="shared" si="6"/>
        <v/>
      </c>
      <c r="B69" s="38" t="str">
        <f>IFERROR(_xlfn.XLOOKUP(C69,'Registro Visitas'!$A$3:$A$62,'Registro Visitas'!$B$3:$B$62),"")</f>
        <v/>
      </c>
      <c r="C69" s="9"/>
      <c r="D69" s="19"/>
      <c r="E69" s="14"/>
      <c r="F69" s="9"/>
      <c r="G69" s="15"/>
      <c r="H69" s="9" t="str">
        <f t="shared" ref="H69:H100" si="8">IF(E69="","","P")</f>
        <v/>
      </c>
      <c r="I69" s="15"/>
      <c r="J69" s="14"/>
      <c r="K69" s="23" t="str">
        <f t="shared" ca="1" si="7"/>
        <v/>
      </c>
      <c r="N69" s="3" t="str">
        <f>IF($H69="OK",COUNTIF($H$3:$H69,"OK"),"")</f>
        <v/>
      </c>
    </row>
    <row r="70" spans="1:14" s="3" customFormat="1" ht="15" customHeight="1" x14ac:dyDescent="0.3">
      <c r="A70" s="12" t="str">
        <f t="shared" si="6"/>
        <v/>
      </c>
      <c r="B70" s="38" t="str">
        <f>IFERROR(_xlfn.XLOOKUP(C70,'Registro Visitas'!$A$3:$A$62,'Registro Visitas'!$B$3:$B$62),"")</f>
        <v/>
      </c>
      <c r="C70" s="9"/>
      <c r="D70" s="19"/>
      <c r="E70" s="14"/>
      <c r="F70" s="9"/>
      <c r="G70" s="15"/>
      <c r="H70" s="9" t="str">
        <f t="shared" si="8"/>
        <v/>
      </c>
      <c r="I70" s="15"/>
      <c r="J70" s="14"/>
      <c r="K70" s="23" t="str">
        <f t="shared" ca="1" si="7"/>
        <v/>
      </c>
      <c r="N70" s="3" t="str">
        <f>IF($H70="OK",COUNTIF($H$3:$H70,"OK"),"")</f>
        <v/>
      </c>
    </row>
    <row r="71" spans="1:14" s="3" customFormat="1" ht="15" customHeight="1" x14ac:dyDescent="0.3">
      <c r="A71" s="12" t="str">
        <f t="shared" si="6"/>
        <v/>
      </c>
      <c r="B71" s="38" t="str">
        <f>IFERROR(_xlfn.XLOOKUP(C71,'Registro Visitas'!$A$3:$A$62,'Registro Visitas'!$B$3:$B$62),"")</f>
        <v/>
      </c>
      <c r="C71" s="9"/>
      <c r="D71" s="19"/>
      <c r="E71" s="14"/>
      <c r="F71" s="9"/>
      <c r="G71" s="15"/>
      <c r="H71" s="9" t="str">
        <f t="shared" si="8"/>
        <v/>
      </c>
      <c r="I71" s="15"/>
      <c r="J71" s="14"/>
      <c r="K71" s="23" t="str">
        <f t="shared" ca="1" si="7"/>
        <v/>
      </c>
      <c r="N71" s="3" t="str">
        <f>IF($H71="OK",COUNTIF($H$3:$H71,"OK"),"")</f>
        <v/>
      </c>
    </row>
    <row r="72" spans="1:14" s="3" customFormat="1" ht="15" customHeight="1" x14ac:dyDescent="0.3">
      <c r="A72" s="12" t="str">
        <f t="shared" si="6"/>
        <v/>
      </c>
      <c r="B72" s="38" t="str">
        <f>IFERROR(_xlfn.XLOOKUP(C72,'Registro Visitas'!$A$3:$A$62,'Registro Visitas'!$B$3:$B$62),"")</f>
        <v/>
      </c>
      <c r="C72" s="9"/>
      <c r="D72" s="19"/>
      <c r="E72" s="14"/>
      <c r="F72" s="9"/>
      <c r="G72" s="15"/>
      <c r="H72" s="9" t="str">
        <f t="shared" si="8"/>
        <v/>
      </c>
      <c r="I72" s="15"/>
      <c r="J72" s="14"/>
      <c r="K72" s="23" t="str">
        <f t="shared" ca="1" si="7"/>
        <v/>
      </c>
      <c r="N72" s="3" t="str">
        <f>IF($H72="OK",COUNTIF($H$3:$H72,"OK"),"")</f>
        <v/>
      </c>
    </row>
    <row r="73" spans="1:14" s="3" customFormat="1" ht="15" customHeight="1" x14ac:dyDescent="0.3">
      <c r="A73" s="12" t="str">
        <f t="shared" si="6"/>
        <v/>
      </c>
      <c r="B73" s="38" t="str">
        <f>IFERROR(_xlfn.XLOOKUP(C73,'Registro Visitas'!$A$3:$A$62,'Registro Visitas'!$B$3:$B$62),"")</f>
        <v/>
      </c>
      <c r="C73" s="9"/>
      <c r="D73" s="19"/>
      <c r="E73" s="14"/>
      <c r="F73" s="9"/>
      <c r="G73" s="15"/>
      <c r="H73" s="9" t="str">
        <f t="shared" si="8"/>
        <v/>
      </c>
      <c r="I73" s="15"/>
      <c r="J73" s="14"/>
      <c r="K73" s="23" t="str">
        <f t="shared" ca="1" si="7"/>
        <v/>
      </c>
      <c r="N73" s="3" t="str">
        <f>IF($H73="OK",COUNTIF($H$3:$H73,"OK"),"")</f>
        <v/>
      </c>
    </row>
    <row r="74" spans="1:14" s="3" customFormat="1" ht="15" customHeight="1" x14ac:dyDescent="0.3">
      <c r="A74" s="12" t="str">
        <f t="shared" si="6"/>
        <v/>
      </c>
      <c r="B74" s="38" t="str">
        <f>IFERROR(_xlfn.XLOOKUP(C74,'Registro Visitas'!$A$3:$A$62,'Registro Visitas'!$B$3:$B$62),"")</f>
        <v/>
      </c>
      <c r="C74" s="9"/>
      <c r="D74" s="19"/>
      <c r="E74" s="14"/>
      <c r="F74" s="9"/>
      <c r="G74" s="15"/>
      <c r="H74" s="9" t="str">
        <f t="shared" si="8"/>
        <v/>
      </c>
      <c r="I74" s="15"/>
      <c r="J74" s="14"/>
      <c r="K74" s="23" t="str">
        <f t="shared" ca="1" si="7"/>
        <v/>
      </c>
      <c r="N74" s="3" t="str">
        <f>IF($H74="OK",COUNTIF($H$3:$H74,"OK"),"")</f>
        <v/>
      </c>
    </row>
    <row r="75" spans="1:14" s="3" customFormat="1" ht="15" customHeight="1" x14ac:dyDescent="0.3">
      <c r="A75" s="12" t="str">
        <f t="shared" si="6"/>
        <v/>
      </c>
      <c r="B75" s="38" t="str">
        <f>IFERROR(_xlfn.XLOOKUP(C75,'Registro Visitas'!$A$3:$A$62,'Registro Visitas'!$B$3:$B$62),"")</f>
        <v/>
      </c>
      <c r="C75" s="9"/>
      <c r="D75" s="19"/>
      <c r="E75" s="14"/>
      <c r="F75" s="9"/>
      <c r="G75" s="15"/>
      <c r="H75" s="9" t="str">
        <f t="shared" si="8"/>
        <v/>
      </c>
      <c r="I75" s="15"/>
      <c r="J75" s="14"/>
      <c r="K75" s="23" t="str">
        <f t="shared" ca="1" si="7"/>
        <v/>
      </c>
      <c r="N75" s="3" t="str">
        <f>IF($H75="OK",COUNTIF($H$3:$H75,"OK"),"")</f>
        <v/>
      </c>
    </row>
    <row r="76" spans="1:14" s="3" customFormat="1" ht="15" customHeight="1" x14ac:dyDescent="0.3">
      <c r="A76" s="12" t="str">
        <f t="shared" si="6"/>
        <v/>
      </c>
      <c r="B76" s="38" t="str">
        <f>IFERROR(_xlfn.XLOOKUP(C76,'Registro Visitas'!$A$3:$A$62,'Registro Visitas'!$B$3:$B$62),"")</f>
        <v/>
      </c>
      <c r="C76" s="9"/>
      <c r="D76" s="19"/>
      <c r="E76" s="14"/>
      <c r="F76" s="9"/>
      <c r="G76" s="15"/>
      <c r="H76" s="9" t="str">
        <f t="shared" si="8"/>
        <v/>
      </c>
      <c r="I76" s="15"/>
      <c r="J76" s="14"/>
      <c r="K76" s="23" t="str">
        <f t="shared" ca="1" si="7"/>
        <v/>
      </c>
      <c r="N76" s="3" t="str">
        <f>IF($H76="OK",COUNTIF($H$3:$H76,"OK"),"")</f>
        <v/>
      </c>
    </row>
    <row r="77" spans="1:14" s="3" customFormat="1" ht="15" customHeight="1" x14ac:dyDescent="0.3">
      <c r="A77" s="12" t="str">
        <f t="shared" si="6"/>
        <v/>
      </c>
      <c r="B77" s="38" t="str">
        <f>IFERROR(_xlfn.XLOOKUP(C77,'Registro Visitas'!$A$3:$A$62,'Registro Visitas'!$B$3:$B$62),"")</f>
        <v/>
      </c>
      <c r="C77" s="9"/>
      <c r="D77" s="19"/>
      <c r="E77" s="14"/>
      <c r="F77" s="9"/>
      <c r="G77" s="15"/>
      <c r="H77" s="9" t="str">
        <f t="shared" si="8"/>
        <v/>
      </c>
      <c r="I77" s="15"/>
      <c r="J77" s="14"/>
      <c r="K77" s="23" t="str">
        <f t="shared" ca="1" si="7"/>
        <v/>
      </c>
      <c r="N77" s="3" t="str">
        <f>IF($H77="OK",COUNTIF($H$3:$H77,"OK"),"")</f>
        <v/>
      </c>
    </row>
    <row r="78" spans="1:14" s="3" customFormat="1" ht="15" customHeight="1" x14ac:dyDescent="0.3">
      <c r="A78" s="12" t="str">
        <f t="shared" si="6"/>
        <v/>
      </c>
      <c r="B78" s="38" t="str">
        <f>IFERROR(_xlfn.XLOOKUP(C78,'Registro Visitas'!$A$3:$A$62,'Registro Visitas'!$B$3:$B$62),"")</f>
        <v/>
      </c>
      <c r="C78" s="9"/>
      <c r="D78" s="19"/>
      <c r="E78" s="14"/>
      <c r="F78" s="9"/>
      <c r="G78" s="15"/>
      <c r="H78" s="9" t="str">
        <f t="shared" si="8"/>
        <v/>
      </c>
      <c r="I78" s="15"/>
      <c r="J78" s="14"/>
      <c r="K78" s="23" t="str">
        <f t="shared" ca="1" si="7"/>
        <v/>
      </c>
      <c r="N78" s="3" t="str">
        <f>IF($H78="OK",COUNTIF($H$3:$H78,"OK"),"")</f>
        <v/>
      </c>
    </row>
    <row r="79" spans="1:14" s="3" customFormat="1" ht="15" customHeight="1" x14ac:dyDescent="0.3">
      <c r="A79" s="12" t="str">
        <f t="shared" si="6"/>
        <v/>
      </c>
      <c r="B79" s="38" t="str">
        <f>IFERROR(_xlfn.XLOOKUP(C79,'Registro Visitas'!$A$3:$A$62,'Registro Visitas'!$B$3:$B$62),"")</f>
        <v/>
      </c>
      <c r="C79" s="9"/>
      <c r="D79" s="19"/>
      <c r="E79" s="14"/>
      <c r="F79" s="9"/>
      <c r="G79" s="15"/>
      <c r="H79" s="9" t="str">
        <f t="shared" si="8"/>
        <v/>
      </c>
      <c r="I79" s="15"/>
      <c r="J79" s="14"/>
      <c r="K79" s="23" t="str">
        <f t="shared" ca="1" si="7"/>
        <v/>
      </c>
      <c r="N79" s="3" t="str">
        <f>IF($H79="OK",COUNTIF($H$3:$H79,"OK"),"")</f>
        <v/>
      </c>
    </row>
    <row r="80" spans="1:14" s="3" customFormat="1" ht="15" customHeight="1" x14ac:dyDescent="0.3">
      <c r="A80" s="12" t="str">
        <f t="shared" si="6"/>
        <v/>
      </c>
      <c r="B80" s="38" t="str">
        <f>IFERROR(_xlfn.XLOOKUP(C80,'Registro Visitas'!$A$3:$A$62,'Registro Visitas'!$B$3:$B$62),"")</f>
        <v/>
      </c>
      <c r="C80" s="9"/>
      <c r="D80" s="19"/>
      <c r="E80" s="14"/>
      <c r="F80" s="9"/>
      <c r="G80" s="15"/>
      <c r="H80" s="9" t="str">
        <f t="shared" si="8"/>
        <v/>
      </c>
      <c r="I80" s="15"/>
      <c r="J80" s="14"/>
      <c r="K80" s="23" t="str">
        <f t="shared" ca="1" si="7"/>
        <v/>
      </c>
      <c r="N80" s="3" t="str">
        <f>IF($H80="OK",COUNTIF($H$3:$H80,"OK"),"")</f>
        <v/>
      </c>
    </row>
    <row r="81" spans="1:14" s="3" customFormat="1" ht="15" customHeight="1" x14ac:dyDescent="0.3">
      <c r="A81" s="12" t="str">
        <f t="shared" si="6"/>
        <v/>
      </c>
      <c r="B81" s="38" t="str">
        <f>IFERROR(_xlfn.XLOOKUP(C81,'Registro Visitas'!$A$3:$A$62,'Registro Visitas'!$B$3:$B$62),"")</f>
        <v/>
      </c>
      <c r="C81" s="9"/>
      <c r="D81" s="19"/>
      <c r="E81" s="14"/>
      <c r="F81" s="9"/>
      <c r="G81" s="15"/>
      <c r="H81" s="9" t="str">
        <f t="shared" si="8"/>
        <v/>
      </c>
      <c r="I81" s="15"/>
      <c r="J81" s="14"/>
      <c r="K81" s="23" t="str">
        <f t="shared" ca="1" si="7"/>
        <v/>
      </c>
      <c r="N81" s="3" t="str">
        <f>IF($H81="OK",COUNTIF($H$3:$H81,"OK"),"")</f>
        <v/>
      </c>
    </row>
    <row r="82" spans="1:14" s="3" customFormat="1" ht="15" customHeight="1" x14ac:dyDescent="0.3">
      <c r="A82" s="12" t="str">
        <f t="shared" si="6"/>
        <v/>
      </c>
      <c r="B82" s="38" t="str">
        <f>IFERROR(_xlfn.XLOOKUP(C82,'Registro Visitas'!$A$3:$A$62,'Registro Visitas'!$B$3:$B$62),"")</f>
        <v/>
      </c>
      <c r="C82" s="9"/>
      <c r="D82" s="19"/>
      <c r="E82" s="14"/>
      <c r="F82" s="9"/>
      <c r="G82" s="15"/>
      <c r="H82" s="9" t="str">
        <f t="shared" si="8"/>
        <v/>
      </c>
      <c r="I82" s="15"/>
      <c r="J82" s="14"/>
      <c r="K82" s="23" t="str">
        <f t="shared" ca="1" si="7"/>
        <v/>
      </c>
      <c r="N82" s="3" t="str">
        <f>IF($H82="OK",COUNTIF($H$3:$H82,"OK"),"")</f>
        <v/>
      </c>
    </row>
    <row r="83" spans="1:14" s="3" customFormat="1" ht="15" customHeight="1" x14ac:dyDescent="0.3">
      <c r="A83" s="12" t="str">
        <f t="shared" si="6"/>
        <v/>
      </c>
      <c r="B83" s="38" t="str">
        <f>IFERROR(_xlfn.XLOOKUP(C83,'Registro Visitas'!$A$3:$A$62,'Registro Visitas'!$B$3:$B$62),"")</f>
        <v/>
      </c>
      <c r="C83" s="9"/>
      <c r="D83" s="19"/>
      <c r="E83" s="14"/>
      <c r="F83" s="9"/>
      <c r="G83" s="15"/>
      <c r="H83" s="9" t="str">
        <f t="shared" si="8"/>
        <v/>
      </c>
      <c r="I83" s="15"/>
      <c r="J83" s="14"/>
      <c r="K83" s="23" t="str">
        <f t="shared" ca="1" si="7"/>
        <v/>
      </c>
      <c r="N83" s="3" t="str">
        <f>IF($H83="OK",COUNTIF($H$3:$H83,"OK"),"")</f>
        <v/>
      </c>
    </row>
    <row r="84" spans="1:14" s="3" customFormat="1" ht="15" customHeight="1" x14ac:dyDescent="0.3">
      <c r="A84" s="12" t="str">
        <f t="shared" si="6"/>
        <v/>
      </c>
      <c r="B84" s="38" t="str">
        <f>IFERROR(_xlfn.XLOOKUP(C84,'Registro Visitas'!$A$3:$A$62,'Registro Visitas'!$B$3:$B$62),"")</f>
        <v/>
      </c>
      <c r="C84" s="9"/>
      <c r="D84" s="19"/>
      <c r="E84" s="14"/>
      <c r="F84" s="9"/>
      <c r="G84" s="15"/>
      <c r="H84" s="9" t="str">
        <f t="shared" si="8"/>
        <v/>
      </c>
      <c r="I84" s="15"/>
      <c r="J84" s="14"/>
      <c r="K84" s="23" t="str">
        <f t="shared" ca="1" si="7"/>
        <v/>
      </c>
      <c r="N84" s="3" t="str">
        <f>IF($H84="OK",COUNTIF($H$3:$H84,"OK"),"")</f>
        <v/>
      </c>
    </row>
    <row r="85" spans="1:14" s="3" customFormat="1" ht="15" customHeight="1" x14ac:dyDescent="0.3">
      <c r="A85" s="12" t="str">
        <f t="shared" si="6"/>
        <v/>
      </c>
      <c r="B85" s="38" t="str">
        <f>IFERROR(_xlfn.XLOOKUP(C85,'Registro Visitas'!$A$3:$A$62,'Registro Visitas'!$B$3:$B$62),"")</f>
        <v/>
      </c>
      <c r="C85" s="9"/>
      <c r="D85" s="19"/>
      <c r="E85" s="14"/>
      <c r="F85" s="9"/>
      <c r="G85" s="15"/>
      <c r="H85" s="9" t="str">
        <f t="shared" si="8"/>
        <v/>
      </c>
      <c r="I85" s="15"/>
      <c r="J85" s="14"/>
      <c r="K85" s="23" t="str">
        <f t="shared" ca="1" si="7"/>
        <v/>
      </c>
      <c r="N85" s="3" t="str">
        <f>IF($H85="OK",COUNTIF($H$3:$H85,"OK"),"")</f>
        <v/>
      </c>
    </row>
    <row r="86" spans="1:14" s="3" customFormat="1" ht="15" customHeight="1" x14ac:dyDescent="0.3">
      <c r="A86" s="12" t="str">
        <f t="shared" si="6"/>
        <v/>
      </c>
      <c r="B86" s="38" t="str">
        <f>IFERROR(_xlfn.XLOOKUP(C86,'Registro Visitas'!$A$3:$A$62,'Registro Visitas'!$B$3:$B$62),"")</f>
        <v/>
      </c>
      <c r="C86" s="9"/>
      <c r="D86" s="19"/>
      <c r="E86" s="14"/>
      <c r="F86" s="9"/>
      <c r="G86" s="15"/>
      <c r="H86" s="9" t="str">
        <f t="shared" si="8"/>
        <v/>
      </c>
      <c r="I86" s="15"/>
      <c r="J86" s="14"/>
      <c r="K86" s="23" t="str">
        <f t="shared" ca="1" si="7"/>
        <v/>
      </c>
      <c r="N86" s="3" t="str">
        <f>IF($H86="OK",COUNTIF($H$3:$H86,"OK"),"")</f>
        <v/>
      </c>
    </row>
    <row r="87" spans="1:14" s="3" customFormat="1" ht="15" customHeight="1" x14ac:dyDescent="0.3">
      <c r="A87" s="12" t="str">
        <f t="shared" si="6"/>
        <v/>
      </c>
      <c r="B87" s="38" t="str">
        <f>IFERROR(_xlfn.XLOOKUP(C87,'Registro Visitas'!$A$3:$A$62,'Registro Visitas'!$B$3:$B$62),"")</f>
        <v/>
      </c>
      <c r="C87" s="9"/>
      <c r="D87" s="19"/>
      <c r="E87" s="14"/>
      <c r="F87" s="9"/>
      <c r="G87" s="15"/>
      <c r="H87" s="9" t="str">
        <f t="shared" si="8"/>
        <v/>
      </c>
      <c r="I87" s="15"/>
      <c r="J87" s="14"/>
      <c r="K87" s="23" t="str">
        <f t="shared" ca="1" si="7"/>
        <v/>
      </c>
      <c r="N87" s="3" t="str">
        <f>IF($H87="OK",COUNTIF($H$3:$H87,"OK"),"")</f>
        <v/>
      </c>
    </row>
    <row r="88" spans="1:14" s="3" customFormat="1" ht="15" customHeight="1" x14ac:dyDescent="0.3">
      <c r="A88" s="12" t="str">
        <f t="shared" si="6"/>
        <v/>
      </c>
      <c r="B88" s="38" t="str">
        <f>IFERROR(_xlfn.XLOOKUP(C88,'Registro Visitas'!$A$3:$A$62,'Registro Visitas'!$B$3:$B$62),"")</f>
        <v/>
      </c>
      <c r="C88" s="9"/>
      <c r="D88" s="19"/>
      <c r="E88" s="14"/>
      <c r="F88" s="9"/>
      <c r="G88" s="15"/>
      <c r="H88" s="9" t="str">
        <f t="shared" si="8"/>
        <v/>
      </c>
      <c r="I88" s="15"/>
      <c r="J88" s="14"/>
      <c r="K88" s="23" t="str">
        <f t="shared" ca="1" si="7"/>
        <v/>
      </c>
      <c r="N88" s="3" t="str">
        <f>IF($H88="OK",COUNTIF($H$3:$H88,"OK"),"")</f>
        <v/>
      </c>
    </row>
    <row r="89" spans="1:14" s="3" customFormat="1" ht="15" customHeight="1" x14ac:dyDescent="0.3">
      <c r="A89" s="12" t="str">
        <f t="shared" si="6"/>
        <v/>
      </c>
      <c r="B89" s="38" t="str">
        <f>IFERROR(_xlfn.XLOOKUP(C89,'Registro Visitas'!$A$3:$A$62,'Registro Visitas'!$B$3:$B$62),"")</f>
        <v/>
      </c>
      <c r="C89" s="9"/>
      <c r="D89" s="19"/>
      <c r="E89" s="14"/>
      <c r="F89" s="9"/>
      <c r="G89" s="15"/>
      <c r="H89" s="9" t="str">
        <f t="shared" si="8"/>
        <v/>
      </c>
      <c r="I89" s="15"/>
      <c r="J89" s="14"/>
      <c r="K89" s="23" t="str">
        <f t="shared" ca="1" si="7"/>
        <v/>
      </c>
      <c r="N89" s="3" t="str">
        <f>IF($H89="OK",COUNTIF($H$3:$H89,"OK"),"")</f>
        <v/>
      </c>
    </row>
    <row r="90" spans="1:14" s="3" customFormat="1" ht="15" customHeight="1" x14ac:dyDescent="0.3">
      <c r="A90" s="12" t="str">
        <f t="shared" si="6"/>
        <v/>
      </c>
      <c r="B90" s="38" t="str">
        <f>IFERROR(_xlfn.XLOOKUP(C90,'Registro Visitas'!$A$3:$A$62,'Registro Visitas'!$B$3:$B$62),"")</f>
        <v/>
      </c>
      <c r="C90" s="9"/>
      <c r="D90" s="19"/>
      <c r="E90" s="14"/>
      <c r="F90" s="9"/>
      <c r="G90" s="15"/>
      <c r="H90" s="9" t="str">
        <f t="shared" si="8"/>
        <v/>
      </c>
      <c r="I90" s="15"/>
      <c r="J90" s="14"/>
      <c r="K90" s="23" t="str">
        <f t="shared" ca="1" si="7"/>
        <v/>
      </c>
      <c r="N90" s="3" t="str">
        <f>IF($H90="OK",COUNTIF($H$3:$H90,"OK"),"")</f>
        <v/>
      </c>
    </row>
    <row r="91" spans="1:14" s="3" customFormat="1" ht="15" customHeight="1" x14ac:dyDescent="0.3">
      <c r="A91" s="12" t="str">
        <f t="shared" si="6"/>
        <v/>
      </c>
      <c r="B91" s="38" t="str">
        <f>IFERROR(_xlfn.XLOOKUP(C91,'Registro Visitas'!$A$3:$A$62,'Registro Visitas'!$B$3:$B$62),"")</f>
        <v/>
      </c>
      <c r="C91" s="9"/>
      <c r="D91" s="19"/>
      <c r="E91" s="14"/>
      <c r="F91" s="9"/>
      <c r="G91" s="15"/>
      <c r="H91" s="9" t="str">
        <f t="shared" si="8"/>
        <v/>
      </c>
      <c r="I91" s="15"/>
      <c r="J91" s="14"/>
      <c r="K91" s="23" t="str">
        <f t="shared" ca="1" si="7"/>
        <v/>
      </c>
      <c r="N91" s="3" t="str">
        <f>IF($H91="OK",COUNTIF($H$3:$H91,"OK"),"")</f>
        <v/>
      </c>
    </row>
    <row r="92" spans="1:14" s="3" customFormat="1" ht="15" customHeight="1" x14ac:dyDescent="0.3">
      <c r="A92" s="12" t="str">
        <f t="shared" si="6"/>
        <v/>
      </c>
      <c r="B92" s="38" t="str">
        <f>IFERROR(_xlfn.XLOOKUP(C92,'Registro Visitas'!$A$3:$A$62,'Registro Visitas'!$B$3:$B$62),"")</f>
        <v/>
      </c>
      <c r="C92" s="9"/>
      <c r="D92" s="19"/>
      <c r="E92" s="14"/>
      <c r="F92" s="9"/>
      <c r="G92" s="15"/>
      <c r="H92" s="9" t="str">
        <f t="shared" si="8"/>
        <v/>
      </c>
      <c r="I92" s="15"/>
      <c r="J92" s="14"/>
      <c r="K92" s="23" t="str">
        <f t="shared" ca="1" si="7"/>
        <v/>
      </c>
      <c r="N92" s="3" t="str">
        <f>IF($H92="OK",COUNTIF($H$3:$H92,"OK"),"")</f>
        <v/>
      </c>
    </row>
    <row r="93" spans="1:14" s="3" customFormat="1" ht="15" customHeight="1" x14ac:dyDescent="0.3">
      <c r="A93" s="12" t="str">
        <f t="shared" si="6"/>
        <v/>
      </c>
      <c r="B93" s="38" t="str">
        <f>IFERROR(_xlfn.XLOOKUP(C93,'Registro Visitas'!$A$3:$A$62,'Registro Visitas'!$B$3:$B$62),"")</f>
        <v/>
      </c>
      <c r="C93" s="9"/>
      <c r="D93" s="19"/>
      <c r="E93" s="14"/>
      <c r="F93" s="9"/>
      <c r="G93" s="15"/>
      <c r="H93" s="9" t="str">
        <f t="shared" si="8"/>
        <v/>
      </c>
      <c r="I93" s="15"/>
      <c r="J93" s="14"/>
      <c r="K93" s="23" t="str">
        <f t="shared" ca="1" si="7"/>
        <v/>
      </c>
      <c r="N93" s="3" t="str">
        <f>IF($H93="OK",COUNTIF($H$3:$H93,"OK"),"")</f>
        <v/>
      </c>
    </row>
    <row r="94" spans="1:14" ht="15" customHeight="1" x14ac:dyDescent="0.3">
      <c r="A94" s="12" t="str">
        <f t="shared" si="6"/>
        <v/>
      </c>
      <c r="B94" s="37" t="str">
        <f>IFERROR(_xlfn.XLOOKUP(C94,'Registro Visitas'!$A$3:$A$62,'Registro Visitas'!$B$3:$B$62),"")</f>
        <v/>
      </c>
      <c r="C94" s="9"/>
      <c r="D94" s="19"/>
      <c r="E94" s="14"/>
      <c r="F94" s="8"/>
      <c r="G94" s="13"/>
      <c r="H94" s="8" t="str">
        <f t="shared" si="8"/>
        <v/>
      </c>
      <c r="I94" s="13"/>
      <c r="J94" s="14"/>
      <c r="K94" s="12" t="str">
        <f t="shared" ca="1" si="7"/>
        <v/>
      </c>
      <c r="N94" t="str">
        <f>IF($H94="OK",COUNTIF($H$3:$H94,"OK"),"")</f>
        <v/>
      </c>
    </row>
    <row r="95" spans="1:14" ht="15" customHeight="1" x14ac:dyDescent="0.3">
      <c r="A95" s="12" t="str">
        <f t="shared" si="6"/>
        <v/>
      </c>
      <c r="B95" s="37" t="str">
        <f>IFERROR(_xlfn.XLOOKUP(C95,'Registro Visitas'!$A$3:$A$62,'Registro Visitas'!$B$3:$B$62),"")</f>
        <v/>
      </c>
      <c r="C95" s="9"/>
      <c r="D95" s="19"/>
      <c r="E95" s="14"/>
      <c r="F95" s="8"/>
      <c r="G95" s="13"/>
      <c r="H95" s="8" t="str">
        <f t="shared" si="8"/>
        <v/>
      </c>
      <c r="I95" s="13"/>
      <c r="J95" s="14"/>
      <c r="K95" s="12" t="str">
        <f t="shared" ca="1" si="7"/>
        <v/>
      </c>
      <c r="N95" t="str">
        <f>IF($H95="OK",COUNTIF($H$3:$H95,"OK"),"")</f>
        <v/>
      </c>
    </row>
    <row r="96" spans="1:14" ht="15" customHeight="1" x14ac:dyDescent="0.3">
      <c r="A96" s="12" t="str">
        <f t="shared" si="6"/>
        <v/>
      </c>
      <c r="B96" s="37" t="str">
        <f>IFERROR(_xlfn.XLOOKUP(C96,'Registro Visitas'!$A$3:$A$62,'Registro Visitas'!$B$3:$B$62),"")</f>
        <v/>
      </c>
      <c r="C96" s="9"/>
      <c r="D96" s="19"/>
      <c r="E96" s="14"/>
      <c r="F96" s="8"/>
      <c r="G96" s="13"/>
      <c r="H96" s="8" t="str">
        <f t="shared" si="8"/>
        <v/>
      </c>
      <c r="I96" s="13"/>
      <c r="J96" s="14"/>
      <c r="K96" s="12" t="str">
        <f t="shared" ca="1" si="7"/>
        <v/>
      </c>
      <c r="N96" t="str">
        <f>IF($H96="OK",COUNTIF($H$3:$H96,"OK"),"")</f>
        <v/>
      </c>
    </row>
    <row r="97" spans="1:14" ht="15" customHeight="1" x14ac:dyDescent="0.3">
      <c r="A97" s="12" t="str">
        <f t="shared" si="6"/>
        <v/>
      </c>
      <c r="B97" s="37" t="str">
        <f>IFERROR(_xlfn.XLOOKUP(C97,'Registro Visitas'!$A$3:$A$62,'Registro Visitas'!$B$3:$B$62),"")</f>
        <v/>
      </c>
      <c r="C97" s="9"/>
      <c r="D97" s="19"/>
      <c r="E97" s="14"/>
      <c r="F97" s="8"/>
      <c r="G97" s="13"/>
      <c r="H97" s="8" t="str">
        <f t="shared" si="8"/>
        <v/>
      </c>
      <c r="I97" s="13"/>
      <c r="J97" s="14"/>
      <c r="K97" s="12" t="str">
        <f t="shared" ca="1" si="7"/>
        <v/>
      </c>
      <c r="N97" t="str">
        <f>IF($H97="OK",COUNTIF($H$3:$H97,"OK"),"")</f>
        <v/>
      </c>
    </row>
    <row r="98" spans="1:14" ht="15" customHeight="1" x14ac:dyDescent="0.3">
      <c r="A98" s="12" t="str">
        <f t="shared" si="6"/>
        <v/>
      </c>
      <c r="B98" s="37" t="str">
        <f>IFERROR(_xlfn.XLOOKUP(C98,'Registro Visitas'!$A$3:$A$62,'Registro Visitas'!$B$3:$B$62),"")</f>
        <v/>
      </c>
      <c r="C98" s="9"/>
      <c r="D98" s="19"/>
      <c r="E98" s="14"/>
      <c r="F98" s="8"/>
      <c r="G98" s="13"/>
      <c r="H98" s="8" t="str">
        <f t="shared" si="8"/>
        <v/>
      </c>
      <c r="I98" s="13"/>
      <c r="J98" s="14"/>
      <c r="K98" s="12" t="str">
        <f t="shared" ca="1" si="7"/>
        <v/>
      </c>
      <c r="N98" t="str">
        <f>IF($H98="OK",COUNTIF($H$3:$H98,"OK"),"")</f>
        <v/>
      </c>
    </row>
    <row r="99" spans="1:14" ht="15" customHeight="1" x14ac:dyDescent="0.3">
      <c r="A99" s="12" t="str">
        <f t="shared" ref="A99:A130" si="9">IF(B99="","","OBS-"&amp;TEXT(ROW()-2,"000"))</f>
        <v/>
      </c>
      <c r="B99" s="37" t="str">
        <f>IFERROR(_xlfn.XLOOKUP(C99,'Registro Visitas'!$A$3:$A$62,'Registro Visitas'!$B$3:$B$62),"")</f>
        <v/>
      </c>
      <c r="C99" s="9"/>
      <c r="D99" s="19"/>
      <c r="E99" s="14"/>
      <c r="F99" s="8"/>
      <c r="G99" s="13"/>
      <c r="H99" s="8" t="str">
        <f t="shared" si="8"/>
        <v/>
      </c>
      <c r="I99" s="13"/>
      <c r="J99" s="14"/>
      <c r="K99" s="12" t="str">
        <f t="shared" ref="K99:K130" ca="1" si="10">IF(B99="","",IF(I99&lt;&gt;"",I99-B99,TODAY()-B99))</f>
        <v/>
      </c>
      <c r="N99" t="str">
        <f>IF($H99="OK",COUNTIF($H$3:$H99,"OK"),"")</f>
        <v/>
      </c>
    </row>
    <row r="100" spans="1:14" ht="15" customHeight="1" x14ac:dyDescent="0.3">
      <c r="A100" s="12" t="str">
        <f t="shared" si="9"/>
        <v/>
      </c>
      <c r="B100" s="37" t="str">
        <f>IFERROR(_xlfn.XLOOKUP(C100,'Registro Visitas'!$A$3:$A$62,'Registro Visitas'!$B$3:$B$62),"")</f>
        <v/>
      </c>
      <c r="C100" s="9"/>
      <c r="D100" s="19"/>
      <c r="E100" s="14"/>
      <c r="F100" s="8"/>
      <c r="G100" s="13"/>
      <c r="H100" s="8" t="str">
        <f t="shared" si="8"/>
        <v/>
      </c>
      <c r="I100" s="13"/>
      <c r="J100" s="14"/>
      <c r="K100" s="12" t="str">
        <f t="shared" ca="1" si="10"/>
        <v/>
      </c>
      <c r="N100" t="str">
        <f>IF($H100="OK",COUNTIF($H$3:$H100,"OK"),"")</f>
        <v/>
      </c>
    </row>
    <row r="101" spans="1:14" ht="15" customHeight="1" x14ac:dyDescent="0.3">
      <c r="A101" s="12" t="str">
        <f t="shared" si="9"/>
        <v/>
      </c>
      <c r="B101" s="37" t="str">
        <f>IFERROR(_xlfn.XLOOKUP(C101,'Registro Visitas'!$A$3:$A$62,'Registro Visitas'!$B$3:$B$62),"")</f>
        <v/>
      </c>
      <c r="C101" s="9"/>
      <c r="D101" s="19"/>
      <c r="E101" s="14"/>
      <c r="F101" s="8"/>
      <c r="G101" s="13"/>
      <c r="H101" s="8" t="str">
        <f t="shared" ref="H101:H132" si="11">IF(E101="","","P")</f>
        <v/>
      </c>
      <c r="I101" s="13"/>
      <c r="J101" s="14"/>
      <c r="K101" s="12" t="str">
        <f t="shared" ca="1" si="10"/>
        <v/>
      </c>
      <c r="N101" t="str">
        <f>IF($H101="OK",COUNTIF($H$3:$H101,"OK"),"")</f>
        <v/>
      </c>
    </row>
    <row r="102" spans="1:14" ht="15" customHeight="1" x14ac:dyDescent="0.3">
      <c r="A102" s="12" t="str">
        <f t="shared" si="9"/>
        <v/>
      </c>
      <c r="B102" s="37" t="str">
        <f>IFERROR(_xlfn.XLOOKUP(C102,'Registro Visitas'!$A$3:$A$62,'Registro Visitas'!$B$3:$B$62),"")</f>
        <v/>
      </c>
      <c r="C102" s="9"/>
      <c r="D102" s="19"/>
      <c r="E102" s="14"/>
      <c r="F102" s="8"/>
      <c r="G102" s="13"/>
      <c r="H102" s="8" t="str">
        <f t="shared" si="11"/>
        <v/>
      </c>
      <c r="I102" s="13"/>
      <c r="J102" s="14"/>
      <c r="K102" s="12" t="str">
        <f t="shared" ca="1" si="10"/>
        <v/>
      </c>
      <c r="N102" t="str">
        <f>IF($H102="OK",COUNTIF($H$3:$H102,"OK"),"")</f>
        <v/>
      </c>
    </row>
    <row r="103" spans="1:14" ht="15" customHeight="1" x14ac:dyDescent="0.3">
      <c r="A103" s="12" t="str">
        <f t="shared" si="9"/>
        <v/>
      </c>
      <c r="B103" s="37" t="str">
        <f>IFERROR(_xlfn.XLOOKUP(C103,'Registro Visitas'!$A$3:$A$62,'Registro Visitas'!$B$3:$B$62),"")</f>
        <v/>
      </c>
      <c r="C103" s="9"/>
      <c r="D103" s="19"/>
      <c r="E103" s="14"/>
      <c r="F103" s="8"/>
      <c r="G103" s="13"/>
      <c r="H103" s="8" t="str">
        <f t="shared" si="11"/>
        <v/>
      </c>
      <c r="I103" s="13"/>
      <c r="J103" s="14"/>
      <c r="K103" s="12" t="str">
        <f t="shared" ca="1" si="10"/>
        <v/>
      </c>
      <c r="N103" t="str">
        <f>IF($H103="OK",COUNTIF($H$3:$H103,"OK"),"")</f>
        <v/>
      </c>
    </row>
    <row r="104" spans="1:14" ht="15" customHeight="1" x14ac:dyDescent="0.3">
      <c r="A104" s="12" t="str">
        <f t="shared" si="9"/>
        <v/>
      </c>
      <c r="B104" s="37" t="str">
        <f>IFERROR(_xlfn.XLOOKUP(C104,'Registro Visitas'!$A$3:$A$62,'Registro Visitas'!$B$3:$B$62),"")</f>
        <v/>
      </c>
      <c r="C104" s="9"/>
      <c r="D104" s="19"/>
      <c r="E104" s="14"/>
      <c r="F104" s="8"/>
      <c r="G104" s="13"/>
      <c r="H104" s="8" t="str">
        <f t="shared" si="11"/>
        <v/>
      </c>
      <c r="I104" s="13"/>
      <c r="J104" s="14"/>
      <c r="K104" s="12" t="str">
        <f t="shared" ca="1" si="10"/>
        <v/>
      </c>
      <c r="N104" t="str">
        <f>IF($H104="OK",COUNTIF($H$3:$H104,"OK"),"")</f>
        <v/>
      </c>
    </row>
    <row r="105" spans="1:14" ht="15" customHeight="1" x14ac:dyDescent="0.3">
      <c r="A105" s="12" t="str">
        <f t="shared" si="9"/>
        <v/>
      </c>
      <c r="B105" s="37" t="str">
        <f>IFERROR(_xlfn.XLOOKUP(C105,'Registro Visitas'!$A$3:$A$62,'Registro Visitas'!$B$3:$B$62),"")</f>
        <v/>
      </c>
      <c r="C105" s="9"/>
      <c r="D105" s="19"/>
      <c r="E105" s="14"/>
      <c r="F105" s="8"/>
      <c r="G105" s="13"/>
      <c r="H105" s="8" t="str">
        <f t="shared" si="11"/>
        <v/>
      </c>
      <c r="I105" s="13"/>
      <c r="J105" s="14"/>
      <c r="K105" s="12" t="str">
        <f t="shared" ca="1" si="10"/>
        <v/>
      </c>
      <c r="N105" t="str">
        <f>IF($H105="OK",COUNTIF($H$3:$H105,"OK"),"")</f>
        <v/>
      </c>
    </row>
    <row r="106" spans="1:14" ht="15" customHeight="1" x14ac:dyDescent="0.3">
      <c r="A106" s="12" t="str">
        <f t="shared" si="9"/>
        <v/>
      </c>
      <c r="B106" s="37" t="str">
        <f>IFERROR(_xlfn.XLOOKUP(C106,'Registro Visitas'!$A$3:$A$62,'Registro Visitas'!$B$3:$B$62),"")</f>
        <v/>
      </c>
      <c r="C106" s="9"/>
      <c r="D106" s="19"/>
      <c r="E106" s="14"/>
      <c r="F106" s="8"/>
      <c r="G106" s="13"/>
      <c r="H106" s="8" t="str">
        <f t="shared" si="11"/>
        <v/>
      </c>
      <c r="I106" s="13"/>
      <c r="J106" s="14"/>
      <c r="K106" s="12" t="str">
        <f t="shared" ca="1" si="10"/>
        <v/>
      </c>
      <c r="N106" t="str">
        <f>IF($H106="OK",COUNTIF($H$3:$H106,"OK"),"")</f>
        <v/>
      </c>
    </row>
    <row r="107" spans="1:14" ht="15" customHeight="1" x14ac:dyDescent="0.3">
      <c r="A107" s="12" t="str">
        <f t="shared" si="9"/>
        <v/>
      </c>
      <c r="B107" s="37" t="str">
        <f>IFERROR(_xlfn.XLOOKUP(C107,'Registro Visitas'!$A$3:$A$62,'Registro Visitas'!$B$3:$B$62),"")</f>
        <v/>
      </c>
      <c r="C107" s="9"/>
      <c r="D107" s="19"/>
      <c r="E107" s="14"/>
      <c r="F107" s="8"/>
      <c r="G107" s="13"/>
      <c r="H107" s="8" t="str">
        <f t="shared" si="11"/>
        <v/>
      </c>
      <c r="I107" s="13"/>
      <c r="J107" s="14"/>
      <c r="K107" s="12" t="str">
        <f t="shared" ca="1" si="10"/>
        <v/>
      </c>
      <c r="N107" t="str">
        <f>IF($H107="OK",COUNTIF($H$3:$H107,"OK"),"")</f>
        <v/>
      </c>
    </row>
    <row r="108" spans="1:14" ht="15" customHeight="1" x14ac:dyDescent="0.3">
      <c r="A108" s="12" t="str">
        <f t="shared" si="9"/>
        <v/>
      </c>
      <c r="B108" s="37" t="str">
        <f>IFERROR(_xlfn.XLOOKUP(C108,'Registro Visitas'!$A$3:$A$62,'Registro Visitas'!$B$3:$B$62),"")</f>
        <v/>
      </c>
      <c r="C108" s="9"/>
      <c r="D108" s="19"/>
      <c r="E108" s="14"/>
      <c r="F108" s="8"/>
      <c r="G108" s="13"/>
      <c r="H108" s="8" t="str">
        <f t="shared" si="11"/>
        <v/>
      </c>
      <c r="I108" s="13"/>
      <c r="J108" s="14"/>
      <c r="K108" s="12" t="str">
        <f t="shared" ca="1" si="10"/>
        <v/>
      </c>
      <c r="N108" t="str">
        <f>IF($H108="OK",COUNTIF($H$3:$H108,"OK"),"")</f>
        <v/>
      </c>
    </row>
    <row r="109" spans="1:14" ht="15" customHeight="1" x14ac:dyDescent="0.3">
      <c r="A109" s="12" t="str">
        <f t="shared" si="9"/>
        <v/>
      </c>
      <c r="B109" s="37" t="str">
        <f>IFERROR(_xlfn.XLOOKUP(C109,'Registro Visitas'!$A$3:$A$62,'Registro Visitas'!$B$3:$B$62),"")</f>
        <v/>
      </c>
      <c r="C109" s="9"/>
      <c r="D109" s="19"/>
      <c r="E109" s="14"/>
      <c r="F109" s="8"/>
      <c r="G109" s="13"/>
      <c r="H109" s="8" t="str">
        <f t="shared" si="11"/>
        <v/>
      </c>
      <c r="I109" s="13"/>
      <c r="J109" s="14"/>
      <c r="K109" s="12" t="str">
        <f t="shared" ca="1" si="10"/>
        <v/>
      </c>
      <c r="N109" t="str">
        <f>IF($H109="OK",COUNTIF($H$3:$H109,"OK"),"")</f>
        <v/>
      </c>
    </row>
    <row r="110" spans="1:14" ht="15" customHeight="1" x14ac:dyDescent="0.3">
      <c r="A110" s="12" t="str">
        <f t="shared" si="9"/>
        <v/>
      </c>
      <c r="B110" s="37" t="str">
        <f>IFERROR(_xlfn.XLOOKUP(C110,'Registro Visitas'!$A$3:$A$62,'Registro Visitas'!$B$3:$B$62),"")</f>
        <v/>
      </c>
      <c r="C110" s="9"/>
      <c r="D110" s="19"/>
      <c r="E110" s="14"/>
      <c r="F110" s="8"/>
      <c r="G110" s="13"/>
      <c r="H110" s="8" t="str">
        <f t="shared" si="11"/>
        <v/>
      </c>
      <c r="I110" s="13"/>
      <c r="J110" s="14"/>
      <c r="K110" s="12" t="str">
        <f t="shared" ca="1" si="10"/>
        <v/>
      </c>
      <c r="N110" t="str">
        <f>IF($H110="OK",COUNTIF($H$3:$H110,"OK"),"")</f>
        <v/>
      </c>
    </row>
    <row r="111" spans="1:14" ht="15" customHeight="1" x14ac:dyDescent="0.3">
      <c r="A111" s="12" t="str">
        <f t="shared" si="9"/>
        <v/>
      </c>
      <c r="B111" s="37" t="str">
        <f>IFERROR(_xlfn.XLOOKUP(C111,'Registro Visitas'!$A$3:$A$62,'Registro Visitas'!$B$3:$B$62),"")</f>
        <v/>
      </c>
      <c r="C111" s="9"/>
      <c r="D111" s="19"/>
      <c r="E111" s="14"/>
      <c r="F111" s="8"/>
      <c r="G111" s="13"/>
      <c r="H111" s="8" t="str">
        <f t="shared" si="11"/>
        <v/>
      </c>
      <c r="I111" s="13"/>
      <c r="J111" s="14"/>
      <c r="K111" s="12" t="str">
        <f t="shared" ca="1" si="10"/>
        <v/>
      </c>
      <c r="N111" t="str">
        <f>IF($H111="OK",COUNTIF($H$3:$H111,"OK"),"")</f>
        <v/>
      </c>
    </row>
    <row r="112" spans="1:14" ht="15" customHeight="1" x14ac:dyDescent="0.3">
      <c r="A112" s="12" t="str">
        <f t="shared" si="9"/>
        <v/>
      </c>
      <c r="B112" s="37" t="str">
        <f>IFERROR(_xlfn.XLOOKUP(C112,'Registro Visitas'!$A$3:$A$62,'Registro Visitas'!$B$3:$B$62),"")</f>
        <v/>
      </c>
      <c r="C112" s="9"/>
      <c r="D112" s="19"/>
      <c r="E112" s="14"/>
      <c r="F112" s="8"/>
      <c r="G112" s="13"/>
      <c r="H112" s="8" t="str">
        <f t="shared" si="11"/>
        <v/>
      </c>
      <c r="I112" s="13"/>
      <c r="J112" s="14"/>
      <c r="K112" s="12" t="str">
        <f t="shared" ca="1" si="10"/>
        <v/>
      </c>
      <c r="N112" t="str">
        <f>IF($H112="OK",COUNTIF($H$3:$H112,"OK"),"")</f>
        <v/>
      </c>
    </row>
    <row r="113" spans="1:14" ht="15" customHeight="1" x14ac:dyDescent="0.3">
      <c r="A113" s="12" t="str">
        <f t="shared" si="9"/>
        <v/>
      </c>
      <c r="B113" s="37" t="str">
        <f>IFERROR(_xlfn.XLOOKUP(C113,'Registro Visitas'!$A$3:$A$62,'Registro Visitas'!$B$3:$B$62),"")</f>
        <v/>
      </c>
      <c r="C113" s="9"/>
      <c r="D113" s="19"/>
      <c r="E113" s="14"/>
      <c r="F113" s="8"/>
      <c r="G113" s="13"/>
      <c r="H113" s="8" t="str">
        <f t="shared" si="11"/>
        <v/>
      </c>
      <c r="I113" s="13"/>
      <c r="J113" s="14"/>
      <c r="K113" s="12" t="str">
        <f t="shared" ca="1" si="10"/>
        <v/>
      </c>
      <c r="N113" t="str">
        <f>IF($H113="OK",COUNTIF($H$3:$H113,"OK"),"")</f>
        <v/>
      </c>
    </row>
    <row r="114" spans="1:14" ht="15" customHeight="1" x14ac:dyDescent="0.3">
      <c r="A114" s="12" t="str">
        <f t="shared" si="9"/>
        <v/>
      </c>
      <c r="B114" s="37" t="str">
        <f>IFERROR(_xlfn.XLOOKUP(C114,'Registro Visitas'!$A$3:$A$62,'Registro Visitas'!$B$3:$B$62),"")</f>
        <v/>
      </c>
      <c r="C114" s="9"/>
      <c r="D114" s="19"/>
      <c r="E114" s="14"/>
      <c r="F114" s="8"/>
      <c r="G114" s="13"/>
      <c r="H114" s="8" t="str">
        <f t="shared" si="11"/>
        <v/>
      </c>
      <c r="I114" s="13"/>
      <c r="J114" s="14"/>
      <c r="K114" s="12" t="str">
        <f t="shared" ca="1" si="10"/>
        <v/>
      </c>
      <c r="N114" t="str">
        <f>IF($H114="OK",COUNTIF($H$3:$H114,"OK"),"")</f>
        <v/>
      </c>
    </row>
    <row r="115" spans="1:14" ht="15" customHeight="1" x14ac:dyDescent="0.3">
      <c r="A115" s="12" t="str">
        <f t="shared" si="9"/>
        <v/>
      </c>
      <c r="B115" s="37" t="str">
        <f>IFERROR(_xlfn.XLOOKUP(C115,'Registro Visitas'!$A$3:$A$62,'Registro Visitas'!$B$3:$B$62),"")</f>
        <v/>
      </c>
      <c r="C115" s="9"/>
      <c r="D115" s="19"/>
      <c r="E115" s="14"/>
      <c r="F115" s="8"/>
      <c r="G115" s="13"/>
      <c r="H115" s="8" t="str">
        <f t="shared" si="11"/>
        <v/>
      </c>
      <c r="I115" s="13"/>
      <c r="J115" s="14"/>
      <c r="K115" s="12" t="str">
        <f t="shared" ca="1" si="10"/>
        <v/>
      </c>
      <c r="N115" t="str">
        <f>IF($H115="OK",COUNTIF($H$3:$H115,"OK"),"")</f>
        <v/>
      </c>
    </row>
    <row r="116" spans="1:14" ht="15" customHeight="1" x14ac:dyDescent="0.3">
      <c r="A116" s="12" t="str">
        <f t="shared" si="9"/>
        <v/>
      </c>
      <c r="B116" s="37" t="str">
        <f>IFERROR(_xlfn.XLOOKUP(C116,'Registro Visitas'!$A$3:$A$62,'Registro Visitas'!$B$3:$B$62),"")</f>
        <v/>
      </c>
      <c r="C116" s="9"/>
      <c r="D116" s="19"/>
      <c r="E116" s="14"/>
      <c r="F116" s="8"/>
      <c r="G116" s="13"/>
      <c r="H116" s="8" t="str">
        <f t="shared" si="11"/>
        <v/>
      </c>
      <c r="I116" s="13"/>
      <c r="J116" s="14"/>
      <c r="K116" s="12" t="str">
        <f t="shared" ca="1" si="10"/>
        <v/>
      </c>
      <c r="N116" t="str">
        <f>IF($H116="OK",COUNTIF($H$3:$H116,"OK"),"")</f>
        <v/>
      </c>
    </row>
    <row r="117" spans="1:14" ht="15" customHeight="1" x14ac:dyDescent="0.3">
      <c r="A117" s="12" t="str">
        <f t="shared" si="9"/>
        <v/>
      </c>
      <c r="B117" s="37" t="str">
        <f>IFERROR(_xlfn.XLOOKUP(C117,'Registro Visitas'!$A$3:$A$62,'Registro Visitas'!$B$3:$B$62),"")</f>
        <v/>
      </c>
      <c r="C117" s="9"/>
      <c r="D117" s="19"/>
      <c r="E117" s="14"/>
      <c r="F117" s="8"/>
      <c r="G117" s="13"/>
      <c r="H117" s="8" t="str">
        <f t="shared" si="11"/>
        <v/>
      </c>
      <c r="I117" s="13"/>
      <c r="J117" s="14"/>
      <c r="K117" s="12" t="str">
        <f t="shared" ca="1" si="10"/>
        <v/>
      </c>
      <c r="N117" t="str">
        <f>IF($H117="OK",COUNTIF($H$3:$H117,"OK"),"")</f>
        <v/>
      </c>
    </row>
    <row r="118" spans="1:14" ht="15" customHeight="1" x14ac:dyDescent="0.3">
      <c r="A118" s="12" t="str">
        <f t="shared" si="9"/>
        <v/>
      </c>
      <c r="B118" s="37" t="str">
        <f>IFERROR(_xlfn.XLOOKUP(C118,'Registro Visitas'!$A$3:$A$62,'Registro Visitas'!$B$3:$B$62),"")</f>
        <v/>
      </c>
      <c r="C118" s="9"/>
      <c r="D118" s="19"/>
      <c r="E118" s="14"/>
      <c r="F118" s="8"/>
      <c r="G118" s="13"/>
      <c r="H118" s="8" t="str">
        <f t="shared" si="11"/>
        <v/>
      </c>
      <c r="I118" s="13"/>
      <c r="J118" s="14"/>
      <c r="K118" s="12" t="str">
        <f t="shared" ca="1" si="10"/>
        <v/>
      </c>
      <c r="N118" t="str">
        <f>IF($H118="OK",COUNTIF($H$3:$H118,"OK"),"")</f>
        <v/>
      </c>
    </row>
    <row r="119" spans="1:14" ht="15" customHeight="1" x14ac:dyDescent="0.3">
      <c r="A119" s="12" t="str">
        <f t="shared" si="9"/>
        <v/>
      </c>
      <c r="B119" s="37" t="str">
        <f>IFERROR(_xlfn.XLOOKUP(C119,'Registro Visitas'!$A$3:$A$62,'Registro Visitas'!$B$3:$B$62),"")</f>
        <v/>
      </c>
      <c r="C119" s="9"/>
      <c r="D119" s="19"/>
      <c r="E119" s="14"/>
      <c r="F119" s="8"/>
      <c r="G119" s="13"/>
      <c r="H119" s="8" t="str">
        <f t="shared" si="11"/>
        <v/>
      </c>
      <c r="I119" s="13"/>
      <c r="J119" s="14"/>
      <c r="K119" s="12" t="str">
        <f t="shared" ca="1" si="10"/>
        <v/>
      </c>
      <c r="N119" t="str">
        <f>IF($H119="OK",COUNTIF($H$3:$H119,"OK"),"")</f>
        <v/>
      </c>
    </row>
    <row r="120" spans="1:14" ht="15" customHeight="1" x14ac:dyDescent="0.3">
      <c r="A120" s="12" t="str">
        <f t="shared" si="9"/>
        <v/>
      </c>
      <c r="B120" s="37" t="str">
        <f>IFERROR(_xlfn.XLOOKUP(C120,'Registro Visitas'!$A$3:$A$62,'Registro Visitas'!$B$3:$B$62),"")</f>
        <v/>
      </c>
      <c r="C120" s="9"/>
      <c r="D120" s="19"/>
      <c r="E120" s="14"/>
      <c r="F120" s="8"/>
      <c r="G120" s="13"/>
      <c r="H120" s="8" t="str">
        <f t="shared" si="11"/>
        <v/>
      </c>
      <c r="I120" s="13"/>
      <c r="J120" s="14"/>
      <c r="K120" s="12" t="str">
        <f t="shared" ca="1" si="10"/>
        <v/>
      </c>
      <c r="N120" t="str">
        <f>IF($H120="OK",COUNTIF($H$3:$H120,"OK"),"")</f>
        <v/>
      </c>
    </row>
    <row r="121" spans="1:14" ht="15" customHeight="1" x14ac:dyDescent="0.3">
      <c r="A121" s="12" t="str">
        <f t="shared" si="9"/>
        <v/>
      </c>
      <c r="B121" s="37" t="str">
        <f>IFERROR(_xlfn.XLOOKUP(C121,'Registro Visitas'!$A$3:$A$62,'Registro Visitas'!$B$3:$B$62),"")</f>
        <v/>
      </c>
      <c r="C121" s="9"/>
      <c r="D121" s="19"/>
      <c r="E121" s="14"/>
      <c r="F121" s="8"/>
      <c r="G121" s="13"/>
      <c r="H121" s="8" t="str">
        <f t="shared" si="11"/>
        <v/>
      </c>
      <c r="I121" s="13"/>
      <c r="J121" s="14"/>
      <c r="K121" s="12" t="str">
        <f t="shared" ca="1" si="10"/>
        <v/>
      </c>
      <c r="N121" t="str">
        <f>IF($H121="OK",COUNTIF($H$3:$H121,"OK"),"")</f>
        <v/>
      </c>
    </row>
    <row r="122" spans="1:14" ht="15" customHeight="1" x14ac:dyDescent="0.3">
      <c r="A122" s="12" t="str">
        <f t="shared" si="9"/>
        <v/>
      </c>
      <c r="B122" s="37" t="str">
        <f>IFERROR(_xlfn.XLOOKUP(C122,'Registro Visitas'!$A$3:$A$62,'Registro Visitas'!$B$3:$B$62),"")</f>
        <v/>
      </c>
      <c r="C122" s="9"/>
      <c r="D122" s="19"/>
      <c r="E122" s="14"/>
      <c r="F122" s="8"/>
      <c r="G122" s="13"/>
      <c r="H122" s="8" t="str">
        <f t="shared" si="11"/>
        <v/>
      </c>
      <c r="I122" s="13"/>
      <c r="J122" s="14"/>
      <c r="K122" s="12" t="str">
        <f t="shared" ca="1" si="10"/>
        <v/>
      </c>
      <c r="N122" t="str">
        <f>IF($H122="OK",COUNTIF($H$3:$H122,"OK"),"")</f>
        <v/>
      </c>
    </row>
    <row r="123" spans="1:14" ht="15" customHeight="1" x14ac:dyDescent="0.3">
      <c r="A123" s="12" t="str">
        <f t="shared" si="9"/>
        <v/>
      </c>
      <c r="B123" s="37" t="str">
        <f>IFERROR(_xlfn.XLOOKUP(C123,'Registro Visitas'!$A$3:$A$62,'Registro Visitas'!$B$3:$B$62),"")</f>
        <v/>
      </c>
      <c r="C123" s="9"/>
      <c r="D123" s="19"/>
      <c r="E123" s="14"/>
      <c r="F123" s="8"/>
      <c r="G123" s="13"/>
      <c r="H123" s="8" t="str">
        <f t="shared" si="11"/>
        <v/>
      </c>
      <c r="I123" s="13"/>
      <c r="J123" s="14"/>
      <c r="K123" s="12" t="str">
        <f t="shared" ca="1" si="10"/>
        <v/>
      </c>
      <c r="N123" t="str">
        <f>IF($H123="OK",COUNTIF($H$3:$H123,"OK"),"")</f>
        <v/>
      </c>
    </row>
    <row r="124" spans="1:14" ht="15" customHeight="1" x14ac:dyDescent="0.3">
      <c r="A124" s="12" t="str">
        <f t="shared" si="9"/>
        <v/>
      </c>
      <c r="B124" s="37" t="str">
        <f>IFERROR(_xlfn.XLOOKUP(C124,'Registro Visitas'!$A$3:$A$62,'Registro Visitas'!$B$3:$B$62),"")</f>
        <v/>
      </c>
      <c r="C124" s="9"/>
      <c r="D124" s="19"/>
      <c r="E124" s="14"/>
      <c r="F124" s="8"/>
      <c r="G124" s="13"/>
      <c r="H124" s="8" t="str">
        <f t="shared" si="11"/>
        <v/>
      </c>
      <c r="I124" s="13"/>
      <c r="J124" s="14"/>
      <c r="K124" s="12" t="str">
        <f t="shared" ca="1" si="10"/>
        <v/>
      </c>
      <c r="N124" t="str">
        <f>IF($H124="OK",COUNTIF($H$3:$H124,"OK"),"")</f>
        <v/>
      </c>
    </row>
    <row r="125" spans="1:14" ht="15" customHeight="1" x14ac:dyDescent="0.3">
      <c r="A125" s="12" t="str">
        <f t="shared" si="9"/>
        <v/>
      </c>
      <c r="B125" s="37" t="str">
        <f>IFERROR(_xlfn.XLOOKUP(C125,'Registro Visitas'!$A$3:$A$62,'Registro Visitas'!$B$3:$B$62),"")</f>
        <v/>
      </c>
      <c r="C125" s="9"/>
      <c r="D125" s="19"/>
      <c r="E125" s="14"/>
      <c r="F125" s="8"/>
      <c r="G125" s="13"/>
      <c r="H125" s="8" t="str">
        <f t="shared" si="11"/>
        <v/>
      </c>
      <c r="I125" s="13"/>
      <c r="J125" s="14"/>
      <c r="K125" s="12" t="str">
        <f t="shared" ca="1" si="10"/>
        <v/>
      </c>
      <c r="N125" t="str">
        <f>IF($H125="OK",COUNTIF($H$3:$H125,"OK"),"")</f>
        <v/>
      </c>
    </row>
    <row r="126" spans="1:14" ht="15" customHeight="1" x14ac:dyDescent="0.3">
      <c r="A126" s="12" t="str">
        <f t="shared" si="9"/>
        <v/>
      </c>
      <c r="B126" s="37" t="str">
        <f>IFERROR(_xlfn.XLOOKUP(C126,'Registro Visitas'!$A$3:$A$62,'Registro Visitas'!$B$3:$B$62),"")</f>
        <v/>
      </c>
      <c r="C126" s="9"/>
      <c r="D126" s="19"/>
      <c r="E126" s="14"/>
      <c r="F126" s="8"/>
      <c r="G126" s="13"/>
      <c r="H126" s="8" t="str">
        <f t="shared" si="11"/>
        <v/>
      </c>
      <c r="I126" s="13"/>
      <c r="J126" s="14"/>
      <c r="K126" s="12" t="str">
        <f t="shared" ca="1" si="10"/>
        <v/>
      </c>
      <c r="N126" t="str">
        <f>IF($H126="OK",COUNTIF($H$3:$H126,"OK"),"")</f>
        <v/>
      </c>
    </row>
    <row r="127" spans="1:14" ht="15" customHeight="1" x14ac:dyDescent="0.3">
      <c r="A127" s="12" t="str">
        <f t="shared" si="9"/>
        <v/>
      </c>
      <c r="B127" s="37" t="str">
        <f>IFERROR(_xlfn.XLOOKUP(C127,'Registro Visitas'!$A$3:$A$62,'Registro Visitas'!$B$3:$B$62),"")</f>
        <v/>
      </c>
      <c r="C127" s="9"/>
      <c r="D127" s="19"/>
      <c r="E127" s="14"/>
      <c r="F127" s="8"/>
      <c r="G127" s="13"/>
      <c r="H127" s="8" t="str">
        <f t="shared" si="11"/>
        <v/>
      </c>
      <c r="I127" s="13"/>
      <c r="J127" s="14"/>
      <c r="K127" s="12" t="str">
        <f t="shared" ca="1" si="10"/>
        <v/>
      </c>
      <c r="N127" t="str">
        <f>IF($H127="OK",COUNTIF($H$3:$H127,"OK"),"")</f>
        <v/>
      </c>
    </row>
    <row r="128" spans="1:14" ht="15" customHeight="1" x14ac:dyDescent="0.3">
      <c r="A128" s="12" t="str">
        <f t="shared" si="9"/>
        <v/>
      </c>
      <c r="B128" s="37" t="str">
        <f>IFERROR(_xlfn.XLOOKUP(C128,'Registro Visitas'!$A$3:$A$62,'Registro Visitas'!$B$3:$B$62),"")</f>
        <v/>
      </c>
      <c r="C128" s="9"/>
      <c r="D128" s="19"/>
      <c r="E128" s="14"/>
      <c r="F128" s="8"/>
      <c r="G128" s="13"/>
      <c r="H128" s="8" t="str">
        <f t="shared" si="11"/>
        <v/>
      </c>
      <c r="I128" s="13"/>
      <c r="J128" s="14"/>
      <c r="K128" s="12" t="str">
        <f t="shared" ca="1" si="10"/>
        <v/>
      </c>
      <c r="N128" t="str">
        <f>IF($H128="OK",COUNTIF($H$3:$H128,"OK"),"")</f>
        <v/>
      </c>
    </row>
    <row r="129" spans="1:14" ht="15" customHeight="1" x14ac:dyDescent="0.3">
      <c r="A129" s="12" t="str">
        <f t="shared" si="9"/>
        <v/>
      </c>
      <c r="B129" s="37" t="str">
        <f>IFERROR(_xlfn.XLOOKUP(C129,'Registro Visitas'!$A$3:$A$62,'Registro Visitas'!$B$3:$B$62),"")</f>
        <v/>
      </c>
      <c r="C129" s="9"/>
      <c r="D129" s="19"/>
      <c r="E129" s="14"/>
      <c r="F129" s="8"/>
      <c r="G129" s="13"/>
      <c r="H129" s="8" t="str">
        <f t="shared" si="11"/>
        <v/>
      </c>
      <c r="I129" s="13"/>
      <c r="J129" s="14"/>
      <c r="K129" s="12" t="str">
        <f t="shared" ca="1" si="10"/>
        <v/>
      </c>
      <c r="N129" t="str">
        <f>IF($H129="OK",COUNTIF($H$3:$H129,"OK"),"")</f>
        <v/>
      </c>
    </row>
    <row r="130" spans="1:14" ht="15" customHeight="1" x14ac:dyDescent="0.3">
      <c r="A130" s="12" t="str">
        <f t="shared" si="9"/>
        <v/>
      </c>
      <c r="B130" s="37" t="str">
        <f>IFERROR(_xlfn.XLOOKUP(C130,'Registro Visitas'!$A$3:$A$62,'Registro Visitas'!$B$3:$B$62),"")</f>
        <v/>
      </c>
      <c r="C130" s="9"/>
      <c r="D130" s="19"/>
      <c r="E130" s="14"/>
      <c r="F130" s="8"/>
      <c r="G130" s="13"/>
      <c r="H130" s="8" t="str">
        <f t="shared" si="11"/>
        <v/>
      </c>
      <c r="I130" s="13"/>
      <c r="J130" s="14"/>
      <c r="K130" s="12" t="str">
        <f t="shared" ca="1" si="10"/>
        <v/>
      </c>
      <c r="N130" t="str">
        <f>IF($H130="OK",COUNTIF($H$3:$H130,"OK"),"")</f>
        <v/>
      </c>
    </row>
    <row r="131" spans="1:14" ht="15" customHeight="1" x14ac:dyDescent="0.3">
      <c r="A131" s="12" t="str">
        <f t="shared" ref="A131:A162" si="12">IF(B131="","","OBS-"&amp;TEXT(ROW()-2,"000"))</f>
        <v/>
      </c>
      <c r="B131" s="37" t="str">
        <f>IFERROR(_xlfn.XLOOKUP(C131,'Registro Visitas'!$A$3:$A$62,'Registro Visitas'!$B$3:$B$62),"")</f>
        <v/>
      </c>
      <c r="C131" s="9"/>
      <c r="D131" s="19"/>
      <c r="E131" s="14"/>
      <c r="F131" s="8"/>
      <c r="G131" s="13"/>
      <c r="H131" s="8" t="str">
        <f t="shared" si="11"/>
        <v/>
      </c>
      <c r="I131" s="13"/>
      <c r="J131" s="14"/>
      <c r="K131" s="12" t="str">
        <f t="shared" ref="K131:K136" ca="1" si="13">IF(B131="","",IF(I131&lt;&gt;"",I131-B131,TODAY()-B131))</f>
        <v/>
      </c>
      <c r="N131" t="str">
        <f>IF($H131="OK",COUNTIF($H$3:$H131,"OK"),"")</f>
        <v/>
      </c>
    </row>
    <row r="132" spans="1:14" ht="15" customHeight="1" x14ac:dyDescent="0.3">
      <c r="A132" s="12" t="str">
        <f t="shared" si="12"/>
        <v/>
      </c>
      <c r="B132" s="37" t="str">
        <f>IFERROR(_xlfn.XLOOKUP(C132,'Registro Visitas'!$A$3:$A$62,'Registro Visitas'!$B$3:$B$62),"")</f>
        <v/>
      </c>
      <c r="C132" s="9"/>
      <c r="D132" s="19"/>
      <c r="E132" s="14"/>
      <c r="F132" s="8"/>
      <c r="G132" s="13"/>
      <c r="H132" s="8" t="str">
        <f t="shared" si="11"/>
        <v/>
      </c>
      <c r="I132" s="13"/>
      <c r="J132" s="14"/>
      <c r="K132" s="12" t="str">
        <f t="shared" ca="1" si="13"/>
        <v/>
      </c>
      <c r="N132" t="str">
        <f>IF($H132="OK",COUNTIF($H$3:$H132,"OK"),"")</f>
        <v/>
      </c>
    </row>
    <row r="133" spans="1:14" ht="15" customHeight="1" x14ac:dyDescent="0.3">
      <c r="A133" s="12" t="str">
        <f t="shared" si="12"/>
        <v/>
      </c>
      <c r="B133" s="37" t="str">
        <f>IFERROR(_xlfn.XLOOKUP(C133,'Registro Visitas'!$A$3:$A$62,'Registro Visitas'!$B$3:$B$62),"")</f>
        <v/>
      </c>
      <c r="C133" s="9"/>
      <c r="D133" s="19"/>
      <c r="E133" s="14"/>
      <c r="F133" s="8"/>
      <c r="G133" s="13"/>
      <c r="H133" s="8" t="str">
        <f t="shared" ref="H133:H147" si="14">IF(E133="","","P")</f>
        <v/>
      </c>
      <c r="I133" s="13"/>
      <c r="J133" s="14"/>
      <c r="K133" s="12" t="str">
        <f t="shared" ca="1" si="13"/>
        <v/>
      </c>
      <c r="N133" t="str">
        <f>IF($H133="OK",COUNTIF($H$3:$H133,"OK"),"")</f>
        <v/>
      </c>
    </row>
    <row r="134" spans="1:14" ht="15" customHeight="1" x14ac:dyDescent="0.3">
      <c r="A134" s="12" t="str">
        <f t="shared" si="12"/>
        <v/>
      </c>
      <c r="B134" s="37" t="str">
        <f>IFERROR(_xlfn.XLOOKUP(C134,'Registro Visitas'!$A$3:$A$62,'Registro Visitas'!$B$3:$B$62),"")</f>
        <v/>
      </c>
      <c r="C134" s="9"/>
      <c r="D134" s="19"/>
      <c r="E134" s="14"/>
      <c r="F134" s="8"/>
      <c r="G134" s="13"/>
      <c r="H134" s="8" t="str">
        <f t="shared" si="14"/>
        <v/>
      </c>
      <c r="I134" s="13"/>
      <c r="J134" s="14"/>
      <c r="K134" s="12" t="str">
        <f t="shared" ca="1" si="13"/>
        <v/>
      </c>
      <c r="N134" t="str">
        <f>IF($H134="OK",COUNTIF($H$3:$H134,"OK"),"")</f>
        <v/>
      </c>
    </row>
    <row r="135" spans="1:14" ht="15" customHeight="1" x14ac:dyDescent="0.3">
      <c r="A135" s="12" t="str">
        <f t="shared" si="12"/>
        <v/>
      </c>
      <c r="B135" s="37" t="str">
        <f>IFERROR(_xlfn.XLOOKUP(C135,'Registro Visitas'!$A$3:$A$62,'Registro Visitas'!$B$3:$B$62),"")</f>
        <v/>
      </c>
      <c r="C135" s="9"/>
      <c r="D135" s="19"/>
      <c r="E135" s="14"/>
      <c r="F135" s="8"/>
      <c r="G135" s="13"/>
      <c r="H135" s="8" t="str">
        <f t="shared" si="14"/>
        <v/>
      </c>
      <c r="I135" s="13"/>
      <c r="J135" s="14"/>
      <c r="K135" s="12" t="str">
        <f t="shared" ca="1" si="13"/>
        <v/>
      </c>
      <c r="N135" t="str">
        <f>IF($H135="OK",COUNTIF($H$3:$H135,"OK"),"")</f>
        <v/>
      </c>
    </row>
    <row r="136" spans="1:14" ht="15" customHeight="1" x14ac:dyDescent="0.3">
      <c r="A136" s="12" t="str">
        <f t="shared" si="12"/>
        <v/>
      </c>
      <c r="B136" s="37" t="str">
        <f>IFERROR(_xlfn.XLOOKUP(C136,'Registro Visitas'!$A$3:$A$62,'Registro Visitas'!$B$3:$B$62),"")</f>
        <v/>
      </c>
      <c r="C136" s="9"/>
      <c r="D136" s="19"/>
      <c r="E136" s="14"/>
      <c r="F136" s="8"/>
      <c r="G136" s="13"/>
      <c r="H136" s="8" t="str">
        <f t="shared" si="14"/>
        <v/>
      </c>
      <c r="I136" s="13"/>
      <c r="J136" s="14"/>
      <c r="K136" s="12" t="str">
        <f t="shared" ca="1" si="13"/>
        <v/>
      </c>
      <c r="N136" t="str">
        <f>IF($H136="OK",COUNTIF($H$3:$H136,"OK"),"")</f>
        <v/>
      </c>
    </row>
    <row r="137" spans="1:14" x14ac:dyDescent="0.3">
      <c r="B137" s="39" t="str">
        <f>IFERROR(_xlfn.XLOOKUP(C137,'Registro Visitas'!$A$3:$A$62,'Registro Visitas'!$B$3:$B$62),"")</f>
        <v/>
      </c>
      <c r="H137" s="10" t="str">
        <f t="shared" si="14"/>
        <v/>
      </c>
      <c r="N137" t="str">
        <f>IF($H137="OK",COUNTIF($H$3:$H137,"OK"),"")</f>
        <v/>
      </c>
    </row>
    <row r="138" spans="1:14" x14ac:dyDescent="0.3">
      <c r="B138" s="39" t="str">
        <f>IFERROR(_xlfn.XLOOKUP(C138,'Registro Visitas'!$A$3:$A$62,'Registro Visitas'!$B$3:$B$62),"")</f>
        <v/>
      </c>
      <c r="H138" s="10" t="str">
        <f t="shared" si="14"/>
        <v/>
      </c>
      <c r="N138" t="str">
        <f>IF($H138="OK",COUNTIF($H$3:$H138,"OK"),"")</f>
        <v/>
      </c>
    </row>
    <row r="139" spans="1:14" x14ac:dyDescent="0.3">
      <c r="B139" s="39" t="str">
        <f>IFERROR(_xlfn.XLOOKUP(C139,'Registro Visitas'!$A$3:$A$62,'Registro Visitas'!$B$3:$B$62),"")</f>
        <v/>
      </c>
      <c r="H139" s="10" t="str">
        <f t="shared" si="14"/>
        <v/>
      </c>
      <c r="N139" t="str">
        <f>IF($H139="OK",COUNTIF($H$3:$H139,"OK"),"")</f>
        <v/>
      </c>
    </row>
    <row r="140" spans="1:14" x14ac:dyDescent="0.3">
      <c r="B140" s="39" t="str">
        <f>IFERROR(_xlfn.XLOOKUP(C140,'Registro Visitas'!$A$3:$A$62,'Registro Visitas'!$B$3:$B$62),"")</f>
        <v/>
      </c>
      <c r="H140" s="10" t="str">
        <f t="shared" si="14"/>
        <v/>
      </c>
      <c r="N140" t="str">
        <f>IF($H140="OK",COUNTIF($H$3:$H140,"OK"),"")</f>
        <v/>
      </c>
    </row>
    <row r="141" spans="1:14" x14ac:dyDescent="0.3">
      <c r="B141" s="39" t="str">
        <f>IFERROR(_xlfn.XLOOKUP(C141,'Registro Visitas'!$A$3:$A$62,'Registro Visitas'!$B$3:$B$62),"")</f>
        <v/>
      </c>
      <c r="H141" s="10" t="str">
        <f t="shared" si="14"/>
        <v/>
      </c>
      <c r="N141" t="str">
        <f>IF($H141="OK",COUNTIF($H$3:$H141,"OK"),"")</f>
        <v/>
      </c>
    </row>
    <row r="142" spans="1:14" x14ac:dyDescent="0.3">
      <c r="B142" s="39" t="str">
        <f>IFERROR(_xlfn.XLOOKUP(C142,'Registro Visitas'!$A$3:$A$62,'Registro Visitas'!$B$3:$B$62),"")</f>
        <v/>
      </c>
      <c r="H142" s="10" t="str">
        <f t="shared" si="14"/>
        <v/>
      </c>
      <c r="N142" t="str">
        <f>IF($H142="OK",COUNTIF($H$3:$H142,"OK"),"")</f>
        <v/>
      </c>
    </row>
    <row r="143" spans="1:14" x14ac:dyDescent="0.3">
      <c r="B143" s="39" t="str">
        <f>IFERROR(_xlfn.XLOOKUP(C143,'Registro Visitas'!$A$3:$A$62,'Registro Visitas'!$B$3:$B$62),"")</f>
        <v/>
      </c>
      <c r="H143" s="10" t="str">
        <f t="shared" si="14"/>
        <v/>
      </c>
      <c r="N143" t="str">
        <f>IF($H143="OK",COUNTIF($H$3:$H143,"OK"),"")</f>
        <v/>
      </c>
    </row>
    <row r="144" spans="1:14" x14ac:dyDescent="0.3">
      <c r="B144" s="39" t="str">
        <f>IFERROR(_xlfn.XLOOKUP(C144,'Registro Visitas'!$A$3:$A$62,'Registro Visitas'!$B$3:$B$62),"")</f>
        <v/>
      </c>
      <c r="H144" s="10" t="str">
        <f t="shared" si="14"/>
        <v/>
      </c>
      <c r="N144" t="str">
        <f>IF($H144="OK",COUNTIF($H$3:$H144,"OK"),"")</f>
        <v/>
      </c>
    </row>
    <row r="145" spans="2:14" x14ac:dyDescent="0.3">
      <c r="B145" s="39" t="str">
        <f>IFERROR(_xlfn.XLOOKUP(C145,'Registro Visitas'!$A$3:$A$62,'Registro Visitas'!$B$3:$B$62),"")</f>
        <v/>
      </c>
      <c r="H145" s="10" t="str">
        <f t="shared" si="14"/>
        <v/>
      </c>
      <c r="N145" t="str">
        <f>IF($H145="OK",COUNTIF($H$3:$H145,"OK"),"")</f>
        <v/>
      </c>
    </row>
    <row r="146" spans="2:14" x14ac:dyDescent="0.3">
      <c r="B146" s="39" t="str">
        <f>IFERROR(_xlfn.XLOOKUP(C146,'Registro Visitas'!$A$3:$A$62,'Registro Visitas'!$B$3:$B$62),"")</f>
        <v/>
      </c>
      <c r="H146" s="10" t="str">
        <f t="shared" si="14"/>
        <v/>
      </c>
      <c r="N146" t="str">
        <f>IF($H146="OK",COUNTIF($H$3:$H146,"OK"),"")</f>
        <v/>
      </c>
    </row>
    <row r="147" spans="2:14" x14ac:dyDescent="0.3">
      <c r="B147" s="39" t="str">
        <f>IFERROR(_xlfn.XLOOKUP(C147,'Registro Visitas'!$A$3:$A$62,'Registro Visitas'!$B$3:$B$62),"")</f>
        <v/>
      </c>
      <c r="H147" s="10" t="str">
        <f t="shared" si="14"/>
        <v/>
      </c>
      <c r="N147" t="str">
        <f>IF($H147="OK",COUNTIF($H$3:$H147,"OK"),"")</f>
        <v/>
      </c>
    </row>
  </sheetData>
  <autoFilter ref="A2:K136" xr:uid="{00000000-0009-0000-0000-000002000000}"/>
  <phoneticPr fontId="12" type="noConversion"/>
  <conditionalFormatting sqref="F3:F136">
    <cfRule type="expression" dxfId="10" priority="1">
      <formula>$F3="Obs. Crítica"</formula>
    </cfRule>
    <cfRule type="expression" dxfId="9" priority="2">
      <formula>$F3="Obs. Mayor"</formula>
    </cfRule>
    <cfRule type="expression" dxfId="8" priority="7">
      <formula>$F3="Obs. Menor"</formula>
    </cfRule>
  </conditionalFormatting>
  <conditionalFormatting sqref="H3:H136">
    <cfRule type="expression" dxfId="7" priority="3">
      <formula>$H3="OK"</formula>
    </cfRule>
    <cfRule type="expression" dxfId="6" priority="4">
      <formula>$H3="P"</formula>
    </cfRule>
    <cfRule type="expression" dxfId="5" priority="5">
      <formula>$H3="i"</formula>
    </cfRule>
    <cfRule type="expression" dxfId="4" priority="6">
      <formula>AND($H3="P",$G3&lt;&gt;"",$G3&lt;TODAY())</formula>
    </cfRule>
  </conditionalFormatting>
  <dataValidations count="3">
    <dataValidation type="list" allowBlank="1" errorTitle="Estado inválido" error="Use solo P, OK o i" sqref="H3:H136" xr:uid="{3E2D8B3C-ED14-460B-9FA4-08CC61E2C1C8}">
      <formula1>"P,OK,i"</formula1>
      <formula2>0</formula2>
    </dataValidation>
    <dataValidation type="list" allowBlank="1" sqref="F3:F136" xr:uid="{E6CD4919-D83D-42A8-9AE3-1402507C62D6}">
      <formula1>"Obs. Crítica,Obs. Mayor,Obs. Menor"</formula1>
    </dataValidation>
    <dataValidation type="list" allowBlank="1" sqref="D3:D136" xr:uid="{4A98736D-A462-4E4C-981A-68CA484EDFFA}">
      <formula1>"TP,BUS_A,BUS_B,CLIMA_A,CLIMA_B,T_G2,General/Varios"</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E7B23501-5849-4D60-A10A-AD6136282511}">
          <x14:formula1>
            <xm:f>'Registro Visitas'!$A$3:$A$62</xm:f>
          </x14:formula1>
          <xm:sqref>C3:C136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8"/>
  <sheetViews>
    <sheetView zoomScaleNormal="100" workbookViewId="0">
      <pane xSplit="1" ySplit="2" topLeftCell="B19" activePane="bottomRight" state="frozen"/>
      <selection pane="topRight" activeCell="B1" sqref="B1"/>
      <selection pane="bottomLeft" activeCell="A2" sqref="A2"/>
      <selection pane="bottomRight" activeCell="D25" sqref="D25"/>
    </sheetView>
  </sheetViews>
  <sheetFormatPr baseColWidth="10" defaultColWidth="8.6640625" defaultRowHeight="15" customHeight="1" x14ac:dyDescent="0.3"/>
  <cols>
    <col min="1" max="1" width="11.88671875" style="16" customWidth="1"/>
    <col min="2" max="2" width="13" style="16" customWidth="1"/>
    <col min="3" max="3" width="16" style="10" customWidth="1"/>
    <col min="4" max="4" width="14" style="35" customWidth="1"/>
    <col min="5" max="5" width="49.33203125" style="35" customWidth="1"/>
    <col min="6" max="6" width="12" style="10" customWidth="1"/>
    <col min="7" max="7" width="14.6640625" style="20" customWidth="1"/>
    <col min="8" max="8" width="9" style="10" customWidth="1"/>
    <col min="9" max="9" width="12.6640625" style="10" customWidth="1"/>
    <col min="10" max="10" width="48.5546875" style="10" customWidth="1"/>
    <col min="13" max="13" width="13" hidden="1" customWidth="1"/>
  </cols>
  <sheetData>
    <row r="1" spans="1:13" ht="25.2" customHeight="1" x14ac:dyDescent="0.3">
      <c r="A1" s="26" t="s">
        <v>41</v>
      </c>
    </row>
    <row r="2" spans="1:13" ht="31.5" customHeight="1" x14ac:dyDescent="0.3">
      <c r="A2" s="7" t="s">
        <v>42</v>
      </c>
      <c r="B2" s="29" t="s">
        <v>11</v>
      </c>
      <c r="C2" s="1" t="s">
        <v>12</v>
      </c>
      <c r="D2" s="1" t="s">
        <v>13</v>
      </c>
      <c r="E2" s="1" t="s">
        <v>14</v>
      </c>
      <c r="F2" s="1" t="s">
        <v>15</v>
      </c>
      <c r="G2" s="7" t="s">
        <v>43</v>
      </c>
      <c r="H2" s="1" t="s">
        <v>17</v>
      </c>
      <c r="I2" s="1" t="s">
        <v>18</v>
      </c>
      <c r="J2" s="7" t="s">
        <v>44</v>
      </c>
      <c r="M2" s="2" t="s">
        <v>21</v>
      </c>
    </row>
    <row r="3" spans="1:13" ht="30" customHeight="1" x14ac:dyDescent="0.3">
      <c r="A3" s="12" t="str">
        <f t="shared" ref="A3:A34" si="0">IF(B3="","","INFO-"&amp;TEXT(ROW()-2,"000"))</f>
        <v>INFO-001</v>
      </c>
      <c r="B3" s="28">
        <f>IFERROR(_xlfn.XLOOKUP(C3,'Registro Visitas'!$A$3:$A$62,'Registro Visitas'!$B$3:$B$62),"")</f>
        <v>46225</v>
      </c>
      <c r="C3" s="9" t="s">
        <v>22</v>
      </c>
      <c r="D3" s="14" t="s">
        <v>23</v>
      </c>
      <c r="E3" s="17" t="s">
        <v>45</v>
      </c>
      <c r="F3" s="8" t="s">
        <v>46</v>
      </c>
      <c r="G3" s="19" t="s">
        <v>47</v>
      </c>
      <c r="H3" s="8" t="s">
        <v>48</v>
      </c>
      <c r="I3" s="13">
        <v>46230</v>
      </c>
      <c r="J3" s="14" t="s">
        <v>49</v>
      </c>
      <c r="M3" t="str">
        <f>IF(UPPER(TRIM(H3))="OK",COUNT($M$2:M2)+1,"")</f>
        <v/>
      </c>
    </row>
    <row r="4" spans="1:13" ht="30" customHeight="1" x14ac:dyDescent="0.3">
      <c r="A4" s="12" t="str">
        <f t="shared" si="0"/>
        <v>INFO-002</v>
      </c>
      <c r="B4" s="28">
        <f>IFERROR(_xlfn.XLOOKUP(C4,'Registro Visitas'!$A$3:$A$62,'Registro Visitas'!$B$3:$B$62),"")</f>
        <v>46225</v>
      </c>
      <c r="C4" s="9" t="s">
        <v>22</v>
      </c>
      <c r="D4" s="14" t="s">
        <v>50</v>
      </c>
      <c r="E4" s="14" t="s">
        <v>51</v>
      </c>
      <c r="F4" s="8" t="s">
        <v>46</v>
      </c>
      <c r="G4" s="19" t="s">
        <v>52</v>
      </c>
      <c r="H4" s="8" t="s">
        <v>48</v>
      </c>
      <c r="I4" s="13">
        <v>46227</v>
      </c>
      <c r="J4" s="14" t="s">
        <v>53</v>
      </c>
      <c r="M4" t="str">
        <f>IF(UPPER(TRIM(H4))="OK",COUNT($M$2:M3)+1,"")</f>
        <v/>
      </c>
    </row>
    <row r="5" spans="1:13" ht="30" customHeight="1" x14ac:dyDescent="0.3">
      <c r="A5" s="12" t="str">
        <f t="shared" si="0"/>
        <v>INFO-003</v>
      </c>
      <c r="B5" s="28">
        <f>IFERROR(_xlfn.XLOOKUP(C5,'Registro Visitas'!$A$3:$A$62,'Registro Visitas'!$B$3:$B$62),"")</f>
        <v>46225</v>
      </c>
      <c r="C5" s="9" t="s">
        <v>22</v>
      </c>
      <c r="D5" s="14" t="s">
        <v>23</v>
      </c>
      <c r="E5" s="14" t="s">
        <v>54</v>
      </c>
      <c r="F5" s="8" t="s">
        <v>55</v>
      </c>
      <c r="G5" s="19" t="s">
        <v>56</v>
      </c>
      <c r="H5" s="8" t="s">
        <v>48</v>
      </c>
      <c r="I5" s="13">
        <v>46231</v>
      </c>
      <c r="J5" s="14" t="s">
        <v>57</v>
      </c>
      <c r="M5" t="str">
        <f>IF(UPPER(TRIM(H5))="OK",COUNT($M$2:M4)+1,"")</f>
        <v/>
      </c>
    </row>
    <row r="6" spans="1:13" ht="43.5" customHeight="1" x14ac:dyDescent="0.3">
      <c r="A6" s="12" t="str">
        <f t="shared" si="0"/>
        <v>INFO-004</v>
      </c>
      <c r="B6" s="28">
        <f>IFERROR(_xlfn.XLOOKUP(C6,'Registro Visitas'!$A$3:$A$62,'Registro Visitas'!$B$3:$B$62),"")</f>
        <v>46225</v>
      </c>
      <c r="C6" s="9" t="s">
        <v>22</v>
      </c>
      <c r="D6" s="14" t="s">
        <v>23</v>
      </c>
      <c r="E6" s="14" t="s">
        <v>58</v>
      </c>
      <c r="F6" s="8" t="s">
        <v>59</v>
      </c>
      <c r="G6" s="19" t="s">
        <v>60</v>
      </c>
      <c r="H6" s="8" t="s">
        <v>61</v>
      </c>
      <c r="I6" s="18" t="s">
        <v>60</v>
      </c>
      <c r="J6" s="19" t="s">
        <v>60</v>
      </c>
      <c r="M6" t="str">
        <f>IF(UPPER(TRIM(H6))="OK",COUNT($M$2:M5)+1,"")</f>
        <v/>
      </c>
    </row>
    <row r="7" spans="1:13" ht="39.6" x14ac:dyDescent="0.3">
      <c r="A7" s="12" t="str">
        <f t="shared" si="0"/>
        <v>INFO-005</v>
      </c>
      <c r="B7" s="28">
        <f>IFERROR(_xlfn.XLOOKUP(C7,'Registro Visitas'!$A$3:$A$62,'Registro Visitas'!$B$3:$B$62),"")</f>
        <v>46225</v>
      </c>
      <c r="C7" s="9" t="s">
        <v>22</v>
      </c>
      <c r="D7" s="14" t="s">
        <v>23</v>
      </c>
      <c r="E7" s="17" t="s">
        <v>62</v>
      </c>
      <c r="F7" s="8" t="s">
        <v>46</v>
      </c>
      <c r="G7" s="19" t="s">
        <v>47</v>
      </c>
      <c r="H7" s="8" t="s">
        <v>63</v>
      </c>
      <c r="I7" s="13"/>
      <c r="J7" s="17"/>
      <c r="M7" t="str">
        <f>IF(UPPER(TRIM(H7))="OK",COUNT($M$2:M6)+1,"")</f>
        <v/>
      </c>
    </row>
    <row r="8" spans="1:13" ht="39.6" x14ac:dyDescent="0.3">
      <c r="A8" s="12" t="str">
        <f t="shared" si="0"/>
        <v>INFO-006</v>
      </c>
      <c r="B8" s="28">
        <f>IFERROR(_xlfn.XLOOKUP(C8,'Registro Visitas'!$A$3:$A$62,'Registro Visitas'!$B$3:$B$62),"")</f>
        <v>46225</v>
      </c>
      <c r="C8" s="9" t="s">
        <v>22</v>
      </c>
      <c r="D8" s="14" t="s">
        <v>23</v>
      </c>
      <c r="E8" s="14" t="s">
        <v>64</v>
      </c>
      <c r="F8" s="8" t="s">
        <v>46</v>
      </c>
      <c r="G8" s="19" t="s">
        <v>47</v>
      </c>
      <c r="H8" s="8" t="s">
        <v>63</v>
      </c>
      <c r="I8" s="13"/>
      <c r="J8" s="14"/>
      <c r="M8" t="str">
        <f>IF(UPPER(TRIM(H8))="OK",COUNT($M$2:M7)+1,"")</f>
        <v/>
      </c>
    </row>
    <row r="9" spans="1:13" ht="30" customHeight="1" x14ac:dyDescent="0.3">
      <c r="A9" s="12" t="str">
        <f t="shared" si="0"/>
        <v>INFO-007</v>
      </c>
      <c r="B9" s="28">
        <f>IFERROR(_xlfn.XLOOKUP(C9,'Registro Visitas'!$A$3:$A$62,'Registro Visitas'!$B$3:$B$62),"")</f>
        <v>46225</v>
      </c>
      <c r="C9" s="9" t="s">
        <v>22</v>
      </c>
      <c r="D9" s="17" t="s">
        <v>31</v>
      </c>
      <c r="E9" s="14" t="s">
        <v>65</v>
      </c>
      <c r="F9" s="8" t="s">
        <v>46</v>
      </c>
      <c r="G9" s="19" t="s">
        <v>47</v>
      </c>
      <c r="H9" s="8" t="s">
        <v>63</v>
      </c>
      <c r="I9" s="13"/>
      <c r="J9" s="14"/>
      <c r="M9" t="str">
        <f>IF(UPPER(TRIM(H9))="OK",COUNT($M$2:M8)+1,"")</f>
        <v/>
      </c>
    </row>
    <row r="10" spans="1:13" ht="30" customHeight="1" x14ac:dyDescent="0.3">
      <c r="A10" s="12" t="str">
        <f t="shared" si="0"/>
        <v>INFO-008</v>
      </c>
      <c r="B10" s="28">
        <f>IFERROR(_xlfn.XLOOKUP(C10,'Registro Visitas'!$A$3:$A$62,'Registro Visitas'!$B$3:$B$62),"")</f>
        <v>46225</v>
      </c>
      <c r="C10" s="9" t="s">
        <v>22</v>
      </c>
      <c r="D10" s="14" t="s">
        <v>23</v>
      </c>
      <c r="E10" s="14" t="s">
        <v>66</v>
      </c>
      <c r="F10" s="8" t="s">
        <v>55</v>
      </c>
      <c r="G10" s="19" t="s">
        <v>67</v>
      </c>
      <c r="H10" s="8" t="s">
        <v>48</v>
      </c>
      <c r="I10" s="13">
        <v>46205</v>
      </c>
      <c r="J10" s="17" t="s">
        <v>68</v>
      </c>
      <c r="M10" t="str">
        <f>IF(UPPER(TRIM(H10))="OK",COUNT($M$2:M9)+1,"")</f>
        <v/>
      </c>
    </row>
    <row r="11" spans="1:13" ht="30" customHeight="1" x14ac:dyDescent="0.3">
      <c r="A11" s="12" t="str">
        <f t="shared" si="0"/>
        <v>INFO-009</v>
      </c>
      <c r="B11" s="28">
        <f>IFERROR(_xlfn.XLOOKUP(C11,'Registro Visitas'!$A$3:$A$62,'Registro Visitas'!$B$3:$B$62),"")</f>
        <v>46225</v>
      </c>
      <c r="C11" s="9" t="s">
        <v>22</v>
      </c>
      <c r="D11" s="14" t="s">
        <v>23</v>
      </c>
      <c r="E11" s="14" t="s">
        <v>69</v>
      </c>
      <c r="F11" s="8" t="s">
        <v>59</v>
      </c>
      <c r="G11" s="19" t="s">
        <v>60</v>
      </c>
      <c r="H11" s="8" t="s">
        <v>61</v>
      </c>
      <c r="I11" s="18" t="s">
        <v>60</v>
      </c>
      <c r="J11" s="17" t="s">
        <v>70</v>
      </c>
      <c r="M11" t="str">
        <f>IF(UPPER(TRIM(H11))="OK",COUNT($M$2:M10)+1,"")</f>
        <v/>
      </c>
    </row>
    <row r="12" spans="1:13" ht="30" customHeight="1" x14ac:dyDescent="0.3">
      <c r="A12" s="12" t="str">
        <f t="shared" si="0"/>
        <v>INFO-010</v>
      </c>
      <c r="B12" s="28">
        <f>IFERROR(_xlfn.XLOOKUP(C12,'Registro Visitas'!$A$3:$A$62,'Registro Visitas'!$B$3:$B$62),"")</f>
        <v>46225</v>
      </c>
      <c r="C12" s="9" t="s">
        <v>22</v>
      </c>
      <c r="D12" s="14" t="s">
        <v>23</v>
      </c>
      <c r="E12" s="14" t="s">
        <v>71</v>
      </c>
      <c r="F12" s="8" t="s">
        <v>46</v>
      </c>
      <c r="G12" s="19" t="s">
        <v>52</v>
      </c>
      <c r="H12" s="8" t="s">
        <v>48</v>
      </c>
      <c r="I12" s="13">
        <v>46225</v>
      </c>
      <c r="J12" s="14" t="s">
        <v>72</v>
      </c>
      <c r="M12" t="str">
        <f>IF(UPPER(TRIM(H12))="OK",COUNT($M$2:M11)+1,"")</f>
        <v/>
      </c>
    </row>
    <row r="13" spans="1:13" ht="30" customHeight="1" x14ac:dyDescent="0.3">
      <c r="A13" s="12" t="str">
        <f t="shared" si="0"/>
        <v>INFO-011</v>
      </c>
      <c r="B13" s="28">
        <f>IFERROR(_xlfn.XLOOKUP(C13,'Registro Visitas'!$A$3:$A$62,'Registro Visitas'!$B$3:$B$62),"")</f>
        <v>46225</v>
      </c>
      <c r="C13" s="9" t="s">
        <v>22</v>
      </c>
      <c r="D13" s="14" t="s">
        <v>23</v>
      </c>
      <c r="E13" s="17" t="s">
        <v>73</v>
      </c>
      <c r="F13" s="8" t="s">
        <v>46</v>
      </c>
      <c r="G13" s="19" t="s">
        <v>52</v>
      </c>
      <c r="H13" s="8" t="s">
        <v>63</v>
      </c>
      <c r="I13" s="13"/>
      <c r="J13" s="14"/>
      <c r="M13" t="str">
        <f>IF(UPPER(TRIM(H13))="OK",COUNT($M$2:M12)+1,"")</f>
        <v/>
      </c>
    </row>
    <row r="14" spans="1:13" s="3" customFormat="1" ht="39.6" x14ac:dyDescent="0.3">
      <c r="A14" s="12" t="str">
        <f t="shared" si="0"/>
        <v>INFO-012</v>
      </c>
      <c r="B14" s="28">
        <f>IFERROR(_xlfn.XLOOKUP(C14,'Registro Visitas'!$A$3:$A$62,'Registro Visitas'!$B$3:$B$62),"")</f>
        <v>46230</v>
      </c>
      <c r="C14" s="9" t="s">
        <v>74</v>
      </c>
      <c r="D14" s="14" t="s">
        <v>23</v>
      </c>
      <c r="E14" s="17" t="s">
        <v>75</v>
      </c>
      <c r="F14" s="9" t="s">
        <v>46</v>
      </c>
      <c r="G14" s="19" t="s">
        <v>47</v>
      </c>
      <c r="H14" s="9" t="s">
        <v>48</v>
      </c>
      <c r="I14" s="15">
        <v>46230</v>
      </c>
      <c r="J14" s="14" t="s">
        <v>76</v>
      </c>
      <c r="M14" s="3" t="str">
        <f>IF(UPPER(TRIM(H14))="OK",COUNT($M$2:M13)+1,"")</f>
        <v/>
      </c>
    </row>
    <row r="15" spans="1:13" s="3" customFormat="1" ht="39.6" x14ac:dyDescent="0.3">
      <c r="A15" s="12" t="str">
        <f t="shared" si="0"/>
        <v>INFO-013</v>
      </c>
      <c r="B15" s="28">
        <f>IFERROR(_xlfn.XLOOKUP(C15,'Registro Visitas'!$A$3:$A$62,'Registro Visitas'!$B$3:$B$62),"")</f>
        <v>46230</v>
      </c>
      <c r="C15" s="9" t="s">
        <v>74</v>
      </c>
      <c r="D15" s="17" t="s">
        <v>77</v>
      </c>
      <c r="E15" s="17" t="s">
        <v>78</v>
      </c>
      <c r="F15" s="9" t="s">
        <v>46</v>
      </c>
      <c r="G15" s="19" t="s">
        <v>52</v>
      </c>
      <c r="H15" s="9" t="s">
        <v>48</v>
      </c>
      <c r="I15" s="15">
        <v>46233</v>
      </c>
      <c r="J15" s="17" t="s">
        <v>79</v>
      </c>
      <c r="M15" s="3" t="str">
        <f>IF(UPPER(TRIM(H15))="OK",COUNT($M$2:M14)+1,"")</f>
        <v/>
      </c>
    </row>
    <row r="16" spans="1:13" s="3" customFormat="1" ht="26.4" x14ac:dyDescent="0.3">
      <c r="A16" s="12" t="str">
        <f t="shared" si="0"/>
        <v>INFO-014</v>
      </c>
      <c r="B16" s="28">
        <f>IFERROR(_xlfn.XLOOKUP(C16,'Registro Visitas'!$A$3:$A$62,'Registro Visitas'!$B$3:$B$62),"")</f>
        <v>46230</v>
      </c>
      <c r="C16" s="9" t="s">
        <v>74</v>
      </c>
      <c r="D16" s="17" t="s">
        <v>77</v>
      </c>
      <c r="E16" s="17" t="s">
        <v>80</v>
      </c>
      <c r="F16" s="9" t="s">
        <v>46</v>
      </c>
      <c r="G16" s="19" t="s">
        <v>81</v>
      </c>
      <c r="H16" s="9" t="str">
        <f>IF(E16="","","P")</f>
        <v>P</v>
      </c>
      <c r="I16" s="15"/>
      <c r="J16" s="14"/>
      <c r="M16" s="3" t="str">
        <f>IF(UPPER(TRIM(H16))="OK",COUNT($M$2:M15)+1,"")</f>
        <v/>
      </c>
    </row>
    <row r="17" spans="1:13" s="3" customFormat="1" ht="26.4" x14ac:dyDescent="0.3">
      <c r="A17" s="12" t="str">
        <f t="shared" si="0"/>
        <v>INFO-015</v>
      </c>
      <c r="B17" s="28">
        <f>IFERROR(_xlfn.XLOOKUP(C17,'Registro Visitas'!$A$3:$A$62,'Registro Visitas'!$B$3:$B$62),"")</f>
        <v>46233</v>
      </c>
      <c r="C17" s="9" t="s">
        <v>30</v>
      </c>
      <c r="D17" s="14" t="s">
        <v>23</v>
      </c>
      <c r="E17" s="17" t="s">
        <v>82</v>
      </c>
      <c r="F17" s="9" t="s">
        <v>59</v>
      </c>
      <c r="G17" s="19" t="s">
        <v>56</v>
      </c>
      <c r="H17" s="9" t="s">
        <v>61</v>
      </c>
      <c r="I17" s="36" t="s">
        <v>60</v>
      </c>
      <c r="J17" s="17" t="s">
        <v>83</v>
      </c>
      <c r="M17" s="3" t="str">
        <f>IF(UPPER(TRIM(H17))="OK",COUNT($M$2:M16)+1,"")</f>
        <v/>
      </c>
    </row>
    <row r="18" spans="1:13" s="3" customFormat="1" ht="39.6" x14ac:dyDescent="0.3">
      <c r="A18" s="12" t="str">
        <f t="shared" si="0"/>
        <v>INFO-016</v>
      </c>
      <c r="B18" s="28">
        <f>IFERROR(_xlfn.XLOOKUP(C18,'Registro Visitas'!$A$3:$A$62,'Registro Visitas'!$B$3:$B$62),"")</f>
        <v>46233</v>
      </c>
      <c r="C18" s="9" t="s">
        <v>90</v>
      </c>
      <c r="D18" s="14" t="s">
        <v>77</v>
      </c>
      <c r="E18" s="14" t="s">
        <v>91</v>
      </c>
      <c r="F18" s="9" t="s">
        <v>59</v>
      </c>
      <c r="G18" s="9" t="s">
        <v>47</v>
      </c>
      <c r="H18" s="9" t="str">
        <f t="shared" ref="H18:H80" si="1">IF(E18="","","P")</f>
        <v>P</v>
      </c>
      <c r="I18" s="15"/>
      <c r="J18" s="14"/>
      <c r="M18" s="3" t="str">
        <f>IF(UPPER(TRIM(H18))="OK",COUNT($M$2:M17)+1,"")</f>
        <v/>
      </c>
    </row>
    <row r="19" spans="1:13" s="3" customFormat="1" ht="39.6" x14ac:dyDescent="0.3">
      <c r="A19" s="12" t="str">
        <f t="shared" si="0"/>
        <v>INFO-017</v>
      </c>
      <c r="B19" s="28">
        <f>IFERROR(_xlfn.XLOOKUP(C19,'Registro Visitas'!$A$3:$A$62,'Registro Visitas'!$B$3:$B$62),"")</f>
        <v>46233</v>
      </c>
      <c r="C19" s="9" t="s">
        <v>90</v>
      </c>
      <c r="D19" s="14" t="s">
        <v>23</v>
      </c>
      <c r="E19" s="14" t="s">
        <v>92</v>
      </c>
      <c r="F19" s="9"/>
      <c r="G19" s="9"/>
      <c r="H19" s="9" t="str">
        <f t="shared" si="1"/>
        <v>P</v>
      </c>
      <c r="I19" s="15"/>
      <c r="J19" s="14"/>
      <c r="M19" s="3" t="str">
        <f>IF(UPPER(TRIM(H19))="OK",COUNT($M$2:M18)+1,"")</f>
        <v/>
      </c>
    </row>
    <row r="20" spans="1:13" s="3" customFormat="1" ht="39.6" x14ac:dyDescent="0.3">
      <c r="A20" s="12" t="str">
        <f t="shared" si="0"/>
        <v>INFO-018</v>
      </c>
      <c r="B20" s="28">
        <f>IFERROR(_xlfn.XLOOKUP(C20,'Registro Visitas'!$A$3:$A$62,'Registro Visitas'!$B$3:$B$62),"")</f>
        <v>46233</v>
      </c>
      <c r="C20" s="9" t="s">
        <v>90</v>
      </c>
      <c r="D20" s="14" t="s">
        <v>77</v>
      </c>
      <c r="E20" s="14" t="s">
        <v>93</v>
      </c>
      <c r="F20" s="9"/>
      <c r="G20" s="9"/>
      <c r="H20" s="9" t="str">
        <f t="shared" si="1"/>
        <v>P</v>
      </c>
      <c r="I20" s="15"/>
      <c r="J20" s="14"/>
      <c r="M20" s="3" t="str">
        <f>IF(UPPER(TRIM(H20))="OK",COUNT($M$2:M19)+1,"")</f>
        <v/>
      </c>
    </row>
    <row r="21" spans="1:13" s="3" customFormat="1" ht="26.4" x14ac:dyDescent="0.3">
      <c r="A21" s="12" t="str">
        <f t="shared" si="0"/>
        <v>INFO-019</v>
      </c>
      <c r="B21" s="28">
        <f>IFERROR(_xlfn.XLOOKUP(C21,'Registro Visitas'!$A$3:$A$62,'Registro Visitas'!$B$3:$B$62),"")</f>
        <v>46233</v>
      </c>
      <c r="C21" s="9" t="s">
        <v>90</v>
      </c>
      <c r="D21" s="17" t="s">
        <v>31</v>
      </c>
      <c r="E21" s="14" t="s">
        <v>94</v>
      </c>
      <c r="F21" s="9"/>
      <c r="G21" s="9"/>
      <c r="H21" s="9" t="str">
        <f t="shared" si="1"/>
        <v>P</v>
      </c>
      <c r="I21" s="15"/>
      <c r="J21" s="14"/>
      <c r="M21" s="3" t="str">
        <f>IF(UPPER(TRIM(H21))="OK",COUNT($M$2:M20)+1,"")</f>
        <v/>
      </c>
    </row>
    <row r="22" spans="1:13" s="3" customFormat="1" ht="15" customHeight="1" x14ac:dyDescent="0.3">
      <c r="A22" s="12" t="str">
        <f t="shared" si="0"/>
        <v>INFO-020</v>
      </c>
      <c r="B22" s="28">
        <f>IFERROR(_xlfn.XLOOKUP(C22,'Registro Visitas'!$A$3:$A$62,'Registro Visitas'!$B$3:$B$62),"")</f>
        <v>46233</v>
      </c>
      <c r="C22" s="9" t="s">
        <v>90</v>
      </c>
      <c r="D22" s="14" t="s">
        <v>23</v>
      </c>
      <c r="E22" s="14" t="s">
        <v>95</v>
      </c>
      <c r="F22" s="9"/>
      <c r="G22" s="9"/>
      <c r="H22" s="9" t="str">
        <f t="shared" si="1"/>
        <v>P</v>
      </c>
      <c r="I22" s="15"/>
      <c r="J22" s="14"/>
      <c r="M22" s="3" t="str">
        <f>IF(UPPER(TRIM(H22))="OK",COUNT($M$2:M21)+1,"")</f>
        <v/>
      </c>
    </row>
    <row r="23" spans="1:13" s="3" customFormat="1" ht="26.4" x14ac:dyDescent="0.3">
      <c r="A23" s="12" t="str">
        <f t="shared" si="0"/>
        <v>INFO-021</v>
      </c>
      <c r="B23" s="28">
        <f>IFERROR(_xlfn.XLOOKUP(C23,'Registro Visitas'!$A$3:$A$62,'Registro Visitas'!$B$3:$B$62),"")</f>
        <v>46233</v>
      </c>
      <c r="C23" s="9" t="s">
        <v>90</v>
      </c>
      <c r="D23" s="14" t="s">
        <v>23</v>
      </c>
      <c r="E23" s="14" t="s">
        <v>96</v>
      </c>
      <c r="F23" s="9"/>
      <c r="G23" s="9"/>
      <c r="H23" s="9" t="str">
        <f t="shared" si="1"/>
        <v>P</v>
      </c>
      <c r="I23" s="15"/>
      <c r="J23" s="14"/>
      <c r="M23" s="3" t="str">
        <f>IF(UPPER(TRIM(H23))="OK",COUNT($M$2:M22)+1,"")</f>
        <v/>
      </c>
    </row>
    <row r="24" spans="1:13" s="3" customFormat="1" ht="39.6" x14ac:dyDescent="0.3">
      <c r="A24" s="12" t="str">
        <f t="shared" si="0"/>
        <v>INFO-022</v>
      </c>
      <c r="B24" s="28">
        <f>IFERROR(_xlfn.XLOOKUP(C24,'Registro Visitas'!$A$3:$A$62,'Registro Visitas'!$B$3:$B$62),"")</f>
        <v>46233</v>
      </c>
      <c r="C24" s="9" t="s">
        <v>90</v>
      </c>
      <c r="D24" s="14" t="s">
        <v>23</v>
      </c>
      <c r="E24" s="14" t="s">
        <v>98</v>
      </c>
      <c r="F24" s="9"/>
      <c r="G24" s="9"/>
      <c r="H24" s="9" t="str">
        <f t="shared" si="1"/>
        <v>P</v>
      </c>
      <c r="I24" s="15"/>
      <c r="J24" s="14"/>
      <c r="M24" s="3" t="str">
        <f>IF(UPPER(TRIM(H24))="OK",COUNT($M$2:M23)+1,"")</f>
        <v/>
      </c>
    </row>
    <row r="25" spans="1:13" s="3" customFormat="1" ht="39.6" x14ac:dyDescent="0.3">
      <c r="A25" s="12" t="str">
        <f t="shared" si="0"/>
        <v>INFO-023</v>
      </c>
      <c r="B25" s="28">
        <f>IFERROR(_xlfn.XLOOKUP(C25,'Registro Visitas'!$A$3:$A$62,'Registro Visitas'!$B$3:$B$62),"")</f>
        <v>46233</v>
      </c>
      <c r="C25" s="9" t="s">
        <v>90</v>
      </c>
      <c r="D25" s="14" t="s">
        <v>23</v>
      </c>
      <c r="E25" s="14" t="s">
        <v>100</v>
      </c>
      <c r="F25" s="9"/>
      <c r="G25" s="9"/>
      <c r="H25" s="9" t="str">
        <f t="shared" si="1"/>
        <v>P</v>
      </c>
      <c r="I25" s="15"/>
      <c r="J25" s="14"/>
      <c r="M25" s="3" t="str">
        <f>IF(UPPER(TRIM(H25))="OK",COUNT($M$2:M24)+1,"")</f>
        <v/>
      </c>
    </row>
    <row r="26" spans="1:13" s="3" customFormat="1" ht="15" customHeight="1" x14ac:dyDescent="0.3">
      <c r="A26" s="12" t="str">
        <f t="shared" si="0"/>
        <v/>
      </c>
      <c r="B26" s="28" t="str">
        <f>IFERROR(_xlfn.XLOOKUP(C26,'Registro Visitas'!$A$3:$A$62,'Registro Visitas'!$B$3:$B$62),"")</f>
        <v/>
      </c>
      <c r="C26" s="9"/>
      <c r="D26" s="14"/>
      <c r="E26" s="14"/>
      <c r="F26" s="9"/>
      <c r="G26" s="9"/>
      <c r="H26" s="9" t="str">
        <f t="shared" si="1"/>
        <v/>
      </c>
      <c r="I26" s="15"/>
      <c r="J26" s="14"/>
      <c r="M26" s="3" t="str">
        <f>IF(UPPER(TRIM(H26))="OK",COUNT($M$2:M25)+1,"")</f>
        <v/>
      </c>
    </row>
    <row r="27" spans="1:13" s="3" customFormat="1" ht="15" customHeight="1" x14ac:dyDescent="0.3">
      <c r="A27" s="12" t="str">
        <f t="shared" si="0"/>
        <v/>
      </c>
      <c r="B27" s="28" t="str">
        <f>IFERROR(_xlfn.XLOOKUP(C27,'Registro Visitas'!$A$3:$A$62,'Registro Visitas'!$B$3:$B$62),"")</f>
        <v/>
      </c>
      <c r="C27" s="9"/>
      <c r="D27" s="14"/>
      <c r="E27" s="14"/>
      <c r="F27" s="9"/>
      <c r="G27" s="9"/>
      <c r="H27" s="9" t="str">
        <f t="shared" si="1"/>
        <v/>
      </c>
      <c r="I27" s="15"/>
      <c r="J27" s="14"/>
      <c r="M27" s="3" t="str">
        <f>IF(UPPER(TRIM(H27))="OK",COUNT($M$2:M26)+1,"")</f>
        <v/>
      </c>
    </row>
    <row r="28" spans="1:13" s="3" customFormat="1" ht="15" customHeight="1" x14ac:dyDescent="0.3">
      <c r="A28" s="12" t="str">
        <f t="shared" si="0"/>
        <v/>
      </c>
      <c r="B28" s="28" t="str">
        <f>IFERROR(_xlfn.XLOOKUP(C28,'Registro Visitas'!$A$3:$A$62,'Registro Visitas'!$B$3:$B$62),"")</f>
        <v/>
      </c>
      <c r="C28" s="9"/>
      <c r="D28" s="14"/>
      <c r="E28" s="14"/>
      <c r="F28" s="9"/>
      <c r="G28" s="9"/>
      <c r="H28" s="9" t="str">
        <f t="shared" si="1"/>
        <v/>
      </c>
      <c r="I28" s="15"/>
      <c r="J28" s="14"/>
      <c r="M28" s="3" t="str">
        <f>IF(UPPER(TRIM(H28))="OK",COUNT($M$2:M27)+1,"")</f>
        <v/>
      </c>
    </row>
    <row r="29" spans="1:13" s="3" customFormat="1" ht="15" customHeight="1" x14ac:dyDescent="0.3">
      <c r="A29" s="12" t="str">
        <f t="shared" si="0"/>
        <v/>
      </c>
      <c r="B29" s="28" t="str">
        <f>IFERROR(_xlfn.XLOOKUP(C29,'Registro Visitas'!$A$3:$A$62,'Registro Visitas'!$B$3:$B$62),"")</f>
        <v/>
      </c>
      <c r="C29" s="9"/>
      <c r="D29" s="14"/>
      <c r="E29" s="14"/>
      <c r="F29" s="9"/>
      <c r="G29" s="9"/>
      <c r="H29" s="9" t="str">
        <f t="shared" si="1"/>
        <v/>
      </c>
      <c r="I29" s="15"/>
      <c r="J29" s="14"/>
      <c r="M29" s="3" t="str">
        <f>IF(UPPER(TRIM(H29))="OK",COUNT($M$2:M28)+1,"")</f>
        <v/>
      </c>
    </row>
    <row r="30" spans="1:13" s="3" customFormat="1" ht="15" customHeight="1" x14ac:dyDescent="0.3">
      <c r="A30" s="12" t="str">
        <f t="shared" si="0"/>
        <v/>
      </c>
      <c r="B30" s="28" t="str">
        <f>IFERROR(_xlfn.XLOOKUP(C30,'Registro Visitas'!$A$3:$A$62,'Registro Visitas'!$B$3:$B$62),"")</f>
        <v/>
      </c>
      <c r="C30" s="9"/>
      <c r="D30" s="14"/>
      <c r="E30" s="14"/>
      <c r="F30" s="9"/>
      <c r="G30" s="9"/>
      <c r="H30" s="9" t="str">
        <f t="shared" si="1"/>
        <v/>
      </c>
      <c r="I30" s="15"/>
      <c r="J30" s="14"/>
      <c r="M30" s="3" t="str">
        <f>IF(UPPER(TRIM(H30))="OK",COUNT($M$2:M29)+1,"")</f>
        <v/>
      </c>
    </row>
    <row r="31" spans="1:13" s="3" customFormat="1" ht="15" customHeight="1" x14ac:dyDescent="0.3">
      <c r="A31" s="12" t="str">
        <f t="shared" si="0"/>
        <v/>
      </c>
      <c r="B31" s="28" t="str">
        <f>IFERROR(_xlfn.XLOOKUP(C31,'Registro Visitas'!$A$3:$A$62,'Registro Visitas'!$B$3:$B$62),"")</f>
        <v/>
      </c>
      <c r="C31" s="9"/>
      <c r="D31" s="14"/>
      <c r="E31" s="14"/>
      <c r="F31" s="9"/>
      <c r="G31" s="9"/>
      <c r="H31" s="9" t="str">
        <f t="shared" si="1"/>
        <v/>
      </c>
      <c r="I31" s="15"/>
      <c r="J31" s="14"/>
      <c r="M31" s="3" t="str">
        <f>IF(UPPER(TRIM(H31))="OK",COUNT($M$2:M30)+1,"")</f>
        <v/>
      </c>
    </row>
    <row r="32" spans="1:13" s="3" customFormat="1" ht="15" customHeight="1" x14ac:dyDescent="0.3">
      <c r="A32" s="12" t="str">
        <f t="shared" si="0"/>
        <v/>
      </c>
      <c r="B32" s="28" t="str">
        <f>IFERROR(_xlfn.XLOOKUP(C32,'Registro Visitas'!$A$3:$A$62,'Registro Visitas'!$B$3:$B$62),"")</f>
        <v/>
      </c>
      <c r="C32" s="9"/>
      <c r="D32" s="14"/>
      <c r="E32" s="14"/>
      <c r="F32" s="9"/>
      <c r="G32" s="9"/>
      <c r="H32" s="9" t="str">
        <f t="shared" si="1"/>
        <v/>
      </c>
      <c r="I32" s="15"/>
      <c r="J32" s="14"/>
      <c r="M32" s="3" t="str">
        <f>IF(UPPER(TRIM(H32))="OK",COUNT($M$2:M31)+1,"")</f>
        <v/>
      </c>
    </row>
    <row r="33" spans="1:13" s="3" customFormat="1" ht="15" customHeight="1" x14ac:dyDescent="0.3">
      <c r="A33" s="12" t="str">
        <f t="shared" si="0"/>
        <v/>
      </c>
      <c r="B33" s="28" t="str">
        <f>IFERROR(_xlfn.XLOOKUP(C33,'Registro Visitas'!$A$3:$A$62,'Registro Visitas'!$B$3:$B$62),"")</f>
        <v/>
      </c>
      <c r="C33" s="9"/>
      <c r="D33" s="14"/>
      <c r="E33" s="14"/>
      <c r="F33" s="9"/>
      <c r="G33" s="9"/>
      <c r="H33" s="9" t="str">
        <f t="shared" si="1"/>
        <v/>
      </c>
      <c r="I33" s="15"/>
      <c r="J33" s="14"/>
      <c r="M33" s="3" t="str">
        <f>IF(UPPER(TRIM(H33))="OK",COUNT($M$2:M32)+1,"")</f>
        <v/>
      </c>
    </row>
    <row r="34" spans="1:13" s="3" customFormat="1" ht="15" customHeight="1" x14ac:dyDescent="0.3">
      <c r="A34" s="12" t="str">
        <f t="shared" si="0"/>
        <v/>
      </c>
      <c r="B34" s="28" t="str">
        <f>IFERROR(_xlfn.XLOOKUP(C34,'Registro Visitas'!$A$3:$A$62,'Registro Visitas'!$B$3:$B$62),"")</f>
        <v/>
      </c>
      <c r="C34" s="9"/>
      <c r="D34" s="14"/>
      <c r="E34" s="14"/>
      <c r="F34" s="9"/>
      <c r="G34" s="9"/>
      <c r="H34" s="9" t="str">
        <f t="shared" si="1"/>
        <v/>
      </c>
      <c r="I34" s="15"/>
      <c r="J34" s="14"/>
      <c r="M34" s="3" t="str">
        <f>IF(UPPER(TRIM(H34))="OK",COUNT($M$2:M33)+1,"")</f>
        <v/>
      </c>
    </row>
    <row r="35" spans="1:13" s="3" customFormat="1" ht="15" customHeight="1" x14ac:dyDescent="0.3">
      <c r="A35" s="12" t="str">
        <f t="shared" ref="A35:A66" si="2">IF(B35="","","INFO-"&amp;TEXT(ROW()-2,"000"))</f>
        <v/>
      </c>
      <c r="B35" s="28" t="str">
        <f>IFERROR(_xlfn.XLOOKUP(C35,'Registro Visitas'!$A$3:$A$62,'Registro Visitas'!$B$3:$B$62),"")</f>
        <v/>
      </c>
      <c r="C35" s="9"/>
      <c r="D35" s="14"/>
      <c r="E35" s="14"/>
      <c r="F35" s="9"/>
      <c r="G35" s="9"/>
      <c r="H35" s="9" t="str">
        <f t="shared" si="1"/>
        <v/>
      </c>
      <c r="I35" s="15"/>
      <c r="J35" s="14"/>
      <c r="M35" s="3" t="str">
        <f>IF(UPPER(TRIM(H35))="OK",COUNT($M$2:M34)+1,"")</f>
        <v/>
      </c>
    </row>
    <row r="36" spans="1:13" s="3" customFormat="1" ht="15" customHeight="1" x14ac:dyDescent="0.3">
      <c r="A36" s="12" t="str">
        <f t="shared" si="2"/>
        <v/>
      </c>
      <c r="B36" s="28" t="str">
        <f>IFERROR(_xlfn.XLOOKUP(C36,'Registro Visitas'!$A$3:$A$62,'Registro Visitas'!$B$3:$B$62),"")</f>
        <v/>
      </c>
      <c r="C36" s="9"/>
      <c r="D36" s="14"/>
      <c r="E36" s="14"/>
      <c r="F36" s="9"/>
      <c r="G36" s="9"/>
      <c r="H36" s="9" t="str">
        <f t="shared" si="1"/>
        <v/>
      </c>
      <c r="I36" s="15"/>
      <c r="J36" s="14"/>
      <c r="M36" s="3" t="str">
        <f>IF(UPPER(TRIM(H36))="OK",COUNT($M$2:M35)+1,"")</f>
        <v/>
      </c>
    </row>
    <row r="37" spans="1:13" s="3" customFormat="1" ht="15" customHeight="1" x14ac:dyDescent="0.3">
      <c r="A37" s="12" t="str">
        <f t="shared" si="2"/>
        <v/>
      </c>
      <c r="B37" s="28" t="str">
        <f>IFERROR(_xlfn.XLOOKUP(C37,'Registro Visitas'!$A$3:$A$62,'Registro Visitas'!$B$3:$B$62),"")</f>
        <v/>
      </c>
      <c r="C37" s="9"/>
      <c r="D37" s="14"/>
      <c r="E37" s="14"/>
      <c r="F37" s="9"/>
      <c r="G37" s="9"/>
      <c r="H37" s="9" t="str">
        <f t="shared" si="1"/>
        <v/>
      </c>
      <c r="I37" s="15"/>
      <c r="J37" s="14"/>
      <c r="M37" s="3" t="str">
        <f>IF(UPPER(TRIM(H37))="OK",COUNT($M$2:M36)+1,"")</f>
        <v/>
      </c>
    </row>
    <row r="38" spans="1:13" s="3" customFormat="1" ht="15" customHeight="1" x14ac:dyDescent="0.3">
      <c r="A38" s="12" t="str">
        <f t="shared" si="2"/>
        <v/>
      </c>
      <c r="B38" s="28" t="str">
        <f>IFERROR(_xlfn.XLOOKUP(C38,'Registro Visitas'!$A$3:$A$62,'Registro Visitas'!$B$3:$B$62),"")</f>
        <v/>
      </c>
      <c r="C38" s="9"/>
      <c r="D38" s="14"/>
      <c r="E38" s="14"/>
      <c r="F38" s="9"/>
      <c r="G38" s="9"/>
      <c r="H38" s="9" t="str">
        <f t="shared" si="1"/>
        <v/>
      </c>
      <c r="I38" s="15"/>
      <c r="J38" s="14"/>
      <c r="M38" s="3" t="str">
        <f>IF(UPPER(TRIM(H38))="OK",COUNT($M$2:M37)+1,"")</f>
        <v/>
      </c>
    </row>
    <row r="39" spans="1:13" s="3" customFormat="1" ht="15" customHeight="1" x14ac:dyDescent="0.3">
      <c r="A39" s="12" t="str">
        <f t="shared" si="2"/>
        <v/>
      </c>
      <c r="B39" s="28" t="str">
        <f>IFERROR(_xlfn.XLOOKUP(C39,'Registro Visitas'!$A$3:$A$62,'Registro Visitas'!$B$3:$B$62),"")</f>
        <v/>
      </c>
      <c r="C39" s="9"/>
      <c r="D39" s="14"/>
      <c r="E39" s="14"/>
      <c r="F39" s="9"/>
      <c r="G39" s="9"/>
      <c r="H39" s="9" t="str">
        <f t="shared" si="1"/>
        <v/>
      </c>
      <c r="I39" s="15"/>
      <c r="J39" s="14"/>
      <c r="M39" s="3" t="str">
        <f>IF(UPPER(TRIM(H39))="OK",COUNT($M$2:M38)+1,"")</f>
        <v/>
      </c>
    </row>
    <row r="40" spans="1:13" s="3" customFormat="1" ht="15" customHeight="1" x14ac:dyDescent="0.3">
      <c r="A40" s="12" t="str">
        <f t="shared" si="2"/>
        <v/>
      </c>
      <c r="B40" s="28" t="str">
        <f>IFERROR(_xlfn.XLOOKUP(C40,'Registro Visitas'!$A$3:$A$62,'Registro Visitas'!$B$3:$B$62),"")</f>
        <v/>
      </c>
      <c r="C40" s="9"/>
      <c r="D40" s="14"/>
      <c r="E40" s="14"/>
      <c r="F40" s="9"/>
      <c r="G40" s="9"/>
      <c r="H40" s="9" t="str">
        <f t="shared" si="1"/>
        <v/>
      </c>
      <c r="I40" s="15"/>
      <c r="J40" s="14"/>
      <c r="M40" s="3" t="str">
        <f>IF(UPPER(TRIM(H40))="OK",COUNT($M$2:M39)+1,"")</f>
        <v/>
      </c>
    </row>
    <row r="41" spans="1:13" s="3" customFormat="1" ht="15" customHeight="1" x14ac:dyDescent="0.3">
      <c r="A41" s="12" t="str">
        <f t="shared" si="2"/>
        <v/>
      </c>
      <c r="B41" s="28" t="str">
        <f>IFERROR(_xlfn.XLOOKUP(C41,'Registro Visitas'!$A$3:$A$62,'Registro Visitas'!$B$3:$B$62),"")</f>
        <v/>
      </c>
      <c r="C41" s="9"/>
      <c r="D41" s="14"/>
      <c r="E41" s="14"/>
      <c r="F41" s="9"/>
      <c r="G41" s="9"/>
      <c r="H41" s="9" t="str">
        <f t="shared" si="1"/>
        <v/>
      </c>
      <c r="I41" s="15"/>
      <c r="J41" s="14"/>
      <c r="M41" s="3" t="str">
        <f>IF(UPPER(TRIM(H41))="OK",COUNT($M$2:M40)+1,"")</f>
        <v/>
      </c>
    </row>
    <row r="42" spans="1:13" s="3" customFormat="1" ht="15" customHeight="1" x14ac:dyDescent="0.3">
      <c r="A42" s="12" t="str">
        <f t="shared" si="2"/>
        <v/>
      </c>
      <c r="B42" s="28" t="str">
        <f>IFERROR(_xlfn.XLOOKUP(C42,'Registro Visitas'!$A$3:$A$62,'Registro Visitas'!$B$3:$B$62),"")</f>
        <v/>
      </c>
      <c r="C42" s="9"/>
      <c r="D42" s="14"/>
      <c r="E42" s="14"/>
      <c r="F42" s="9"/>
      <c r="G42" s="9"/>
      <c r="H42" s="9" t="str">
        <f t="shared" si="1"/>
        <v/>
      </c>
      <c r="I42" s="15"/>
      <c r="J42" s="14"/>
      <c r="M42" s="3" t="str">
        <f>IF(UPPER(TRIM(H42))="OK",COUNT($M$2:M41)+1,"")</f>
        <v/>
      </c>
    </row>
    <row r="43" spans="1:13" s="3" customFormat="1" ht="15" customHeight="1" x14ac:dyDescent="0.3">
      <c r="A43" s="12" t="str">
        <f t="shared" si="2"/>
        <v/>
      </c>
      <c r="B43" s="28" t="str">
        <f>IFERROR(_xlfn.XLOOKUP(C43,'Registro Visitas'!$A$3:$A$62,'Registro Visitas'!$B$3:$B$62),"")</f>
        <v/>
      </c>
      <c r="C43" s="9"/>
      <c r="D43" s="14"/>
      <c r="E43" s="14"/>
      <c r="F43" s="9"/>
      <c r="G43" s="9"/>
      <c r="H43" s="9" t="str">
        <f t="shared" si="1"/>
        <v/>
      </c>
      <c r="I43" s="15"/>
      <c r="J43" s="14"/>
      <c r="M43" s="3" t="str">
        <f>IF(UPPER(TRIM(H43))="OK",COUNT($M$2:M42)+1,"")</f>
        <v/>
      </c>
    </row>
    <row r="44" spans="1:13" s="3" customFormat="1" ht="15" customHeight="1" x14ac:dyDescent="0.3">
      <c r="A44" s="12" t="str">
        <f t="shared" si="2"/>
        <v/>
      </c>
      <c r="B44" s="28" t="str">
        <f>IFERROR(_xlfn.XLOOKUP(C44,'Registro Visitas'!$A$3:$A$62,'Registro Visitas'!$B$3:$B$62),"")</f>
        <v/>
      </c>
      <c r="C44" s="9"/>
      <c r="D44" s="14"/>
      <c r="E44" s="14"/>
      <c r="F44" s="9"/>
      <c r="G44" s="9"/>
      <c r="H44" s="9" t="str">
        <f t="shared" si="1"/>
        <v/>
      </c>
      <c r="I44" s="15"/>
      <c r="J44" s="14"/>
      <c r="M44" s="3" t="str">
        <f>IF(UPPER(TRIM(H44))="OK",COUNT($M$2:M43)+1,"")</f>
        <v/>
      </c>
    </row>
    <row r="45" spans="1:13" s="3" customFormat="1" ht="15" customHeight="1" x14ac:dyDescent="0.3">
      <c r="A45" s="12" t="str">
        <f t="shared" si="2"/>
        <v/>
      </c>
      <c r="B45" s="28" t="str">
        <f>IFERROR(_xlfn.XLOOKUP(C45,'Registro Visitas'!$A$3:$A$62,'Registro Visitas'!$B$3:$B$62),"")</f>
        <v/>
      </c>
      <c r="C45" s="9"/>
      <c r="D45" s="14"/>
      <c r="E45" s="14"/>
      <c r="F45" s="9"/>
      <c r="G45" s="9"/>
      <c r="H45" s="9" t="str">
        <f t="shared" si="1"/>
        <v/>
      </c>
      <c r="I45" s="15"/>
      <c r="J45" s="14"/>
      <c r="M45" s="3" t="str">
        <f>IF(UPPER(TRIM(H45))="OK",COUNT($M$2:M44)+1,"")</f>
        <v/>
      </c>
    </row>
    <row r="46" spans="1:13" s="3" customFormat="1" ht="15" customHeight="1" x14ac:dyDescent="0.3">
      <c r="A46" s="12" t="str">
        <f t="shared" si="2"/>
        <v/>
      </c>
      <c r="B46" s="28" t="str">
        <f>IFERROR(_xlfn.XLOOKUP(C46,'Registro Visitas'!$A$3:$A$62,'Registro Visitas'!$B$3:$B$62),"")</f>
        <v/>
      </c>
      <c r="C46" s="9"/>
      <c r="D46" s="14"/>
      <c r="E46" s="14"/>
      <c r="F46" s="9"/>
      <c r="G46" s="9"/>
      <c r="H46" s="9" t="str">
        <f t="shared" si="1"/>
        <v/>
      </c>
      <c r="I46" s="15"/>
      <c r="J46" s="14"/>
      <c r="M46" s="3" t="str">
        <f>IF(UPPER(TRIM(H46))="OK",COUNT($M$2:M45)+1,"")</f>
        <v/>
      </c>
    </row>
    <row r="47" spans="1:13" s="3" customFormat="1" ht="15" customHeight="1" x14ac:dyDescent="0.3">
      <c r="A47" s="12" t="str">
        <f t="shared" si="2"/>
        <v/>
      </c>
      <c r="B47" s="28" t="str">
        <f>IFERROR(_xlfn.XLOOKUP(C47,'Registro Visitas'!$A$3:$A$62,'Registro Visitas'!$B$3:$B$62),"")</f>
        <v/>
      </c>
      <c r="C47" s="9"/>
      <c r="D47" s="14"/>
      <c r="E47" s="14"/>
      <c r="F47" s="9"/>
      <c r="G47" s="9"/>
      <c r="H47" s="9" t="str">
        <f t="shared" si="1"/>
        <v/>
      </c>
      <c r="I47" s="15"/>
      <c r="J47" s="14"/>
      <c r="M47" s="3" t="str">
        <f>IF(UPPER(TRIM(H47))="OK",COUNT($M$2:M46)+1,"")</f>
        <v/>
      </c>
    </row>
    <row r="48" spans="1:13" s="3" customFormat="1" ht="15" customHeight="1" x14ac:dyDescent="0.3">
      <c r="A48" s="12" t="str">
        <f t="shared" si="2"/>
        <v/>
      </c>
      <c r="B48" s="28" t="str">
        <f>IFERROR(_xlfn.XLOOKUP(C48,'Registro Visitas'!$A$3:$A$62,'Registro Visitas'!$B$3:$B$62),"")</f>
        <v/>
      </c>
      <c r="C48" s="9"/>
      <c r="D48" s="14"/>
      <c r="E48" s="14"/>
      <c r="F48" s="9"/>
      <c r="G48" s="9"/>
      <c r="H48" s="9" t="str">
        <f t="shared" si="1"/>
        <v/>
      </c>
      <c r="I48" s="15"/>
      <c r="J48" s="14"/>
      <c r="M48" s="3" t="str">
        <f>IF(UPPER(TRIM(H48))="OK",COUNT($M$2:M47)+1,"")</f>
        <v/>
      </c>
    </row>
    <row r="49" spans="1:13" s="3" customFormat="1" ht="15" customHeight="1" x14ac:dyDescent="0.3">
      <c r="A49" s="12" t="str">
        <f t="shared" si="2"/>
        <v/>
      </c>
      <c r="B49" s="28" t="str">
        <f>IFERROR(_xlfn.XLOOKUP(C49,'Registro Visitas'!$A$3:$A$62,'Registro Visitas'!$B$3:$B$62),"")</f>
        <v/>
      </c>
      <c r="C49" s="9"/>
      <c r="D49" s="14"/>
      <c r="E49" s="14"/>
      <c r="F49" s="9"/>
      <c r="G49" s="9"/>
      <c r="H49" s="9" t="str">
        <f t="shared" si="1"/>
        <v/>
      </c>
      <c r="I49" s="15"/>
      <c r="J49" s="14"/>
      <c r="M49" s="3" t="str">
        <f>IF(UPPER(TRIM(H49))="OK",COUNT($M$2:M48)+1,"")</f>
        <v/>
      </c>
    </row>
    <row r="50" spans="1:13" s="3" customFormat="1" ht="15" customHeight="1" x14ac:dyDescent="0.3">
      <c r="A50" s="12" t="str">
        <f t="shared" si="2"/>
        <v/>
      </c>
      <c r="B50" s="28" t="str">
        <f>IFERROR(_xlfn.XLOOKUP(C50,'Registro Visitas'!$A$3:$A$62,'Registro Visitas'!$B$3:$B$62),"")</f>
        <v/>
      </c>
      <c r="C50" s="9"/>
      <c r="D50" s="14"/>
      <c r="E50" s="14"/>
      <c r="F50" s="9"/>
      <c r="G50" s="9"/>
      <c r="H50" s="9" t="str">
        <f t="shared" si="1"/>
        <v/>
      </c>
      <c r="I50" s="15"/>
      <c r="J50" s="14"/>
      <c r="M50" s="3" t="str">
        <f>IF(UPPER(TRIM(H50))="OK",COUNT($M$2:M49)+1,"")</f>
        <v/>
      </c>
    </row>
    <row r="51" spans="1:13" s="3" customFormat="1" ht="15" customHeight="1" x14ac:dyDescent="0.3">
      <c r="A51" s="12" t="str">
        <f t="shared" si="2"/>
        <v/>
      </c>
      <c r="B51" s="28" t="str">
        <f>IFERROR(_xlfn.XLOOKUP(C51,'Registro Visitas'!$A$3:$A$62,'Registro Visitas'!$B$3:$B$62),"")</f>
        <v/>
      </c>
      <c r="C51" s="9"/>
      <c r="D51" s="14"/>
      <c r="E51" s="14"/>
      <c r="F51" s="9"/>
      <c r="G51" s="9"/>
      <c r="H51" s="9" t="str">
        <f t="shared" si="1"/>
        <v/>
      </c>
      <c r="I51" s="15"/>
      <c r="J51" s="14"/>
      <c r="M51" s="3" t="str">
        <f>IF(UPPER(TRIM(H51))="OK",COUNT($M$2:M50)+1,"")</f>
        <v/>
      </c>
    </row>
    <row r="52" spans="1:13" s="3" customFormat="1" ht="15" customHeight="1" x14ac:dyDescent="0.3">
      <c r="A52" s="12" t="str">
        <f t="shared" si="2"/>
        <v/>
      </c>
      <c r="B52" s="28" t="str">
        <f>IFERROR(_xlfn.XLOOKUP(C52,'Registro Visitas'!$A$3:$A$62,'Registro Visitas'!$B$3:$B$62),"")</f>
        <v/>
      </c>
      <c r="C52" s="9"/>
      <c r="D52" s="14"/>
      <c r="E52" s="14"/>
      <c r="F52" s="9"/>
      <c r="G52" s="9"/>
      <c r="H52" s="9" t="str">
        <f t="shared" si="1"/>
        <v/>
      </c>
      <c r="I52" s="15"/>
      <c r="J52" s="14"/>
      <c r="M52" s="3" t="str">
        <f>IF(UPPER(TRIM(H52))="OK",COUNT($M$2:M51)+1,"")</f>
        <v/>
      </c>
    </row>
    <row r="53" spans="1:13" s="3" customFormat="1" ht="15" customHeight="1" x14ac:dyDescent="0.3">
      <c r="A53" s="12" t="str">
        <f t="shared" si="2"/>
        <v/>
      </c>
      <c r="B53" s="28" t="str">
        <f>IFERROR(_xlfn.XLOOKUP(C53,'Registro Visitas'!$A$3:$A$62,'Registro Visitas'!$B$3:$B$62),"")</f>
        <v/>
      </c>
      <c r="C53" s="9"/>
      <c r="D53" s="14"/>
      <c r="E53" s="14"/>
      <c r="F53" s="9"/>
      <c r="G53" s="9"/>
      <c r="H53" s="9" t="str">
        <f t="shared" si="1"/>
        <v/>
      </c>
      <c r="I53" s="15"/>
      <c r="J53" s="14"/>
      <c r="M53" s="3" t="str">
        <f>IF(UPPER(TRIM(H53))="OK",COUNT($M$2:M52)+1,"")</f>
        <v/>
      </c>
    </row>
    <row r="54" spans="1:13" s="3" customFormat="1" ht="15" customHeight="1" x14ac:dyDescent="0.3">
      <c r="A54" s="12" t="str">
        <f t="shared" si="2"/>
        <v/>
      </c>
      <c r="B54" s="28" t="str">
        <f>IFERROR(_xlfn.XLOOKUP(C54,'Registro Visitas'!$A$3:$A$62,'Registro Visitas'!$B$3:$B$62),"")</f>
        <v/>
      </c>
      <c r="C54" s="9"/>
      <c r="D54" s="14"/>
      <c r="E54" s="14"/>
      <c r="F54" s="9"/>
      <c r="G54" s="9"/>
      <c r="H54" s="9" t="str">
        <f t="shared" si="1"/>
        <v/>
      </c>
      <c r="I54" s="15"/>
      <c r="J54" s="14"/>
      <c r="M54" s="3" t="str">
        <f>IF(UPPER(TRIM(H54))="OK",COUNT($M$2:M53)+1,"")</f>
        <v/>
      </c>
    </row>
    <row r="55" spans="1:13" s="3" customFormat="1" ht="15" customHeight="1" x14ac:dyDescent="0.3">
      <c r="A55" s="12" t="str">
        <f t="shared" si="2"/>
        <v/>
      </c>
      <c r="B55" s="28" t="str">
        <f>IFERROR(_xlfn.XLOOKUP(C55,'Registro Visitas'!$A$3:$A$62,'Registro Visitas'!$B$3:$B$62),"")</f>
        <v/>
      </c>
      <c r="C55" s="9"/>
      <c r="D55" s="14"/>
      <c r="E55" s="14"/>
      <c r="F55" s="9"/>
      <c r="G55" s="9"/>
      <c r="H55" s="9" t="str">
        <f t="shared" si="1"/>
        <v/>
      </c>
      <c r="I55" s="15"/>
      <c r="J55" s="14"/>
      <c r="M55" s="3" t="str">
        <f>IF(UPPER(TRIM(H55))="OK",COUNT($M$2:M54)+1,"")</f>
        <v/>
      </c>
    </row>
    <row r="56" spans="1:13" s="3" customFormat="1" ht="15" customHeight="1" x14ac:dyDescent="0.3">
      <c r="A56" s="12" t="str">
        <f t="shared" si="2"/>
        <v/>
      </c>
      <c r="B56" s="28" t="str">
        <f>IFERROR(_xlfn.XLOOKUP(C56,'Registro Visitas'!$A$3:$A$62,'Registro Visitas'!$B$3:$B$62),"")</f>
        <v/>
      </c>
      <c r="C56" s="9"/>
      <c r="D56" s="14"/>
      <c r="E56" s="14"/>
      <c r="F56" s="9"/>
      <c r="G56" s="9"/>
      <c r="H56" s="9" t="str">
        <f t="shared" si="1"/>
        <v/>
      </c>
      <c r="I56" s="15"/>
      <c r="J56" s="14"/>
      <c r="M56" s="3" t="str">
        <f>IF(UPPER(TRIM(H56))="OK",COUNT($M$2:M55)+1,"")</f>
        <v/>
      </c>
    </row>
    <row r="57" spans="1:13" s="3" customFormat="1" ht="15" customHeight="1" x14ac:dyDescent="0.3">
      <c r="A57" s="12" t="str">
        <f t="shared" si="2"/>
        <v/>
      </c>
      <c r="B57" s="28" t="str">
        <f>IFERROR(_xlfn.XLOOKUP(C57,'Registro Visitas'!$A$3:$A$62,'Registro Visitas'!$B$3:$B$62),"")</f>
        <v/>
      </c>
      <c r="C57" s="9"/>
      <c r="D57" s="14"/>
      <c r="E57" s="14"/>
      <c r="F57" s="9"/>
      <c r="G57" s="9"/>
      <c r="H57" s="9" t="str">
        <f t="shared" si="1"/>
        <v/>
      </c>
      <c r="I57" s="15"/>
      <c r="J57" s="14"/>
      <c r="M57" s="3" t="str">
        <f>IF(UPPER(TRIM(H57))="OK",COUNT($M$2:M56)+1,"")</f>
        <v/>
      </c>
    </row>
    <row r="58" spans="1:13" s="3" customFormat="1" ht="15" customHeight="1" x14ac:dyDescent="0.3">
      <c r="A58" s="12" t="str">
        <f t="shared" si="2"/>
        <v/>
      </c>
      <c r="B58" s="28" t="str">
        <f>IFERROR(_xlfn.XLOOKUP(C58,'Registro Visitas'!$A$3:$A$62,'Registro Visitas'!$B$3:$B$62),"")</f>
        <v/>
      </c>
      <c r="C58" s="9"/>
      <c r="D58" s="14"/>
      <c r="E58" s="14"/>
      <c r="F58" s="9"/>
      <c r="G58" s="9"/>
      <c r="H58" s="9" t="str">
        <f t="shared" si="1"/>
        <v/>
      </c>
      <c r="I58" s="15"/>
      <c r="J58" s="14"/>
      <c r="M58" s="3" t="str">
        <f>IF(UPPER(TRIM(H58))="OK",COUNT($M$2:M57)+1,"")</f>
        <v/>
      </c>
    </row>
    <row r="59" spans="1:13" s="3" customFormat="1" ht="15" customHeight="1" x14ac:dyDescent="0.3">
      <c r="A59" s="12" t="str">
        <f t="shared" si="2"/>
        <v/>
      </c>
      <c r="B59" s="28" t="str">
        <f>IFERROR(_xlfn.XLOOKUP(C59,'Registro Visitas'!$A$3:$A$62,'Registro Visitas'!$B$3:$B$62),"")</f>
        <v/>
      </c>
      <c r="C59" s="9"/>
      <c r="D59" s="14"/>
      <c r="E59" s="14"/>
      <c r="F59" s="9"/>
      <c r="G59" s="9"/>
      <c r="H59" s="9" t="str">
        <f t="shared" si="1"/>
        <v/>
      </c>
      <c r="I59" s="15"/>
      <c r="J59" s="14"/>
      <c r="M59" s="3" t="str">
        <f>IF(UPPER(TRIM(H59))="OK",COUNT($M$2:M58)+1,"")</f>
        <v/>
      </c>
    </row>
    <row r="60" spans="1:13" s="3" customFormat="1" ht="15" customHeight="1" x14ac:dyDescent="0.3">
      <c r="A60" s="12" t="str">
        <f t="shared" si="2"/>
        <v/>
      </c>
      <c r="B60" s="28" t="str">
        <f>IFERROR(_xlfn.XLOOKUP(C60,'Registro Visitas'!$A$3:$A$62,'Registro Visitas'!$B$3:$B$62),"")</f>
        <v/>
      </c>
      <c r="C60" s="9"/>
      <c r="D60" s="14"/>
      <c r="E60" s="14"/>
      <c r="F60" s="9"/>
      <c r="G60" s="9"/>
      <c r="H60" s="9" t="str">
        <f t="shared" si="1"/>
        <v/>
      </c>
      <c r="I60" s="15"/>
      <c r="J60" s="14"/>
      <c r="M60" s="3" t="str">
        <f>IF(UPPER(TRIM(H60))="OK",COUNT($M$2:M59)+1,"")</f>
        <v/>
      </c>
    </row>
    <row r="61" spans="1:13" s="3" customFormat="1" ht="15" customHeight="1" x14ac:dyDescent="0.3">
      <c r="A61" s="12" t="str">
        <f t="shared" si="2"/>
        <v/>
      </c>
      <c r="B61" s="28" t="str">
        <f>IFERROR(_xlfn.XLOOKUP(C61,'Registro Visitas'!$A$3:$A$62,'Registro Visitas'!$B$3:$B$62),"")</f>
        <v/>
      </c>
      <c r="C61" s="9"/>
      <c r="D61" s="14"/>
      <c r="E61" s="14"/>
      <c r="F61" s="9"/>
      <c r="G61" s="9"/>
      <c r="H61" s="9" t="str">
        <f t="shared" si="1"/>
        <v/>
      </c>
      <c r="I61" s="15"/>
      <c r="J61" s="14"/>
      <c r="M61" s="3" t="str">
        <f>IF(UPPER(TRIM(H61))="OK",COUNT($M$2:M60)+1,"")</f>
        <v/>
      </c>
    </row>
    <row r="62" spans="1:13" s="3" customFormat="1" ht="15" customHeight="1" x14ac:dyDescent="0.3">
      <c r="A62" s="12" t="str">
        <f t="shared" si="2"/>
        <v/>
      </c>
      <c r="B62" s="28" t="str">
        <f>IFERROR(_xlfn.XLOOKUP(C62,'Registro Visitas'!$A$3:$A$62,'Registro Visitas'!$B$3:$B$62),"")</f>
        <v/>
      </c>
      <c r="C62" s="9"/>
      <c r="D62" s="14"/>
      <c r="E62" s="14"/>
      <c r="F62" s="9"/>
      <c r="G62" s="9"/>
      <c r="H62" s="9" t="str">
        <f t="shared" si="1"/>
        <v/>
      </c>
      <c r="I62" s="15"/>
      <c r="J62" s="14"/>
      <c r="M62" s="3" t="str">
        <f>IF(UPPER(TRIM(H62))="OK",COUNT($M$2:M61)+1,"")</f>
        <v/>
      </c>
    </row>
    <row r="63" spans="1:13" s="3" customFormat="1" ht="15" customHeight="1" x14ac:dyDescent="0.3">
      <c r="A63" s="12" t="str">
        <f t="shared" si="2"/>
        <v/>
      </c>
      <c r="B63" s="28" t="str">
        <f>IFERROR(_xlfn.XLOOKUP(C63,'Registro Visitas'!$A$3:$A$62,'Registro Visitas'!$B$3:$B$62),"")</f>
        <v/>
      </c>
      <c r="C63" s="9"/>
      <c r="D63" s="14"/>
      <c r="E63" s="14"/>
      <c r="F63" s="9"/>
      <c r="G63" s="9"/>
      <c r="H63" s="9" t="str">
        <f t="shared" si="1"/>
        <v/>
      </c>
      <c r="I63" s="15"/>
      <c r="J63" s="14"/>
      <c r="M63" s="3" t="str">
        <f>IF(UPPER(TRIM(H63))="OK",COUNT($M$2:M62)+1,"")</f>
        <v/>
      </c>
    </row>
    <row r="64" spans="1:13" s="3" customFormat="1" ht="15" customHeight="1" x14ac:dyDescent="0.3">
      <c r="A64" s="12" t="str">
        <f t="shared" si="2"/>
        <v/>
      </c>
      <c r="B64" s="28" t="str">
        <f>IFERROR(_xlfn.XLOOKUP(C64,'Registro Visitas'!$A$3:$A$62,'Registro Visitas'!$B$3:$B$62),"")</f>
        <v/>
      </c>
      <c r="C64" s="9"/>
      <c r="D64" s="14"/>
      <c r="E64" s="14"/>
      <c r="F64" s="9"/>
      <c r="G64" s="9"/>
      <c r="H64" s="9" t="str">
        <f t="shared" si="1"/>
        <v/>
      </c>
      <c r="I64" s="15"/>
      <c r="J64" s="14"/>
      <c r="M64" s="3" t="str">
        <f>IF(UPPER(TRIM(H64))="OK",COUNT($M$2:M63)+1,"")</f>
        <v/>
      </c>
    </row>
    <row r="65" spans="1:13" s="3" customFormat="1" ht="15" customHeight="1" x14ac:dyDescent="0.3">
      <c r="A65" s="12" t="str">
        <f t="shared" si="2"/>
        <v/>
      </c>
      <c r="B65" s="28" t="str">
        <f>IFERROR(_xlfn.XLOOKUP(C65,'Registro Visitas'!$A$3:$A$62,'Registro Visitas'!$B$3:$B$62),"")</f>
        <v/>
      </c>
      <c r="C65" s="9"/>
      <c r="D65" s="14"/>
      <c r="E65" s="14"/>
      <c r="F65" s="9"/>
      <c r="G65" s="9"/>
      <c r="H65" s="9" t="str">
        <f t="shared" si="1"/>
        <v/>
      </c>
      <c r="I65" s="15"/>
      <c r="J65" s="14"/>
      <c r="M65" s="3" t="str">
        <f>IF(UPPER(TRIM(H65))="OK",COUNT($M$2:M64)+1,"")</f>
        <v/>
      </c>
    </row>
    <row r="66" spans="1:13" s="3" customFormat="1" ht="15" customHeight="1" x14ac:dyDescent="0.3">
      <c r="A66" s="12" t="str">
        <f t="shared" si="2"/>
        <v/>
      </c>
      <c r="B66" s="28" t="str">
        <f>IFERROR(_xlfn.XLOOKUP(C66,'Registro Visitas'!$A$3:$A$62,'Registro Visitas'!$B$3:$B$62),"")</f>
        <v/>
      </c>
      <c r="C66" s="9"/>
      <c r="D66" s="14"/>
      <c r="E66" s="14"/>
      <c r="F66" s="9"/>
      <c r="G66" s="9"/>
      <c r="H66" s="9" t="str">
        <f t="shared" si="1"/>
        <v/>
      </c>
      <c r="I66" s="15"/>
      <c r="J66" s="14"/>
      <c r="M66" s="3" t="str">
        <f>IF(UPPER(TRIM(H66))="OK",COUNT($M$2:M65)+1,"")</f>
        <v/>
      </c>
    </row>
    <row r="67" spans="1:13" s="3" customFormat="1" ht="15" customHeight="1" x14ac:dyDescent="0.3">
      <c r="A67" s="12" t="str">
        <f t="shared" ref="A67:A98" si="3">IF(B67="","","INFO-"&amp;TEXT(ROW()-2,"000"))</f>
        <v/>
      </c>
      <c r="B67" s="28" t="str">
        <f>IFERROR(_xlfn.XLOOKUP(C67,'Registro Visitas'!$A$3:$A$62,'Registro Visitas'!$B$3:$B$62),"")</f>
        <v/>
      </c>
      <c r="C67" s="9"/>
      <c r="D67" s="14"/>
      <c r="E67" s="14"/>
      <c r="F67" s="9"/>
      <c r="G67" s="9"/>
      <c r="H67" s="9" t="str">
        <f t="shared" si="1"/>
        <v/>
      </c>
      <c r="I67" s="15"/>
      <c r="J67" s="14"/>
      <c r="M67" s="3" t="str">
        <f>IF(UPPER(TRIM(H67))="OK",COUNT($M$2:M66)+1,"")</f>
        <v/>
      </c>
    </row>
    <row r="68" spans="1:13" s="3" customFormat="1" ht="15" customHeight="1" x14ac:dyDescent="0.3">
      <c r="A68" s="12" t="str">
        <f t="shared" si="3"/>
        <v/>
      </c>
      <c r="B68" s="28" t="str">
        <f>IFERROR(_xlfn.XLOOKUP(C68,'Registro Visitas'!$A$3:$A$62,'Registro Visitas'!$B$3:$B$62),"")</f>
        <v/>
      </c>
      <c r="C68" s="9"/>
      <c r="D68" s="14"/>
      <c r="E68" s="14"/>
      <c r="F68" s="9"/>
      <c r="G68" s="9"/>
      <c r="H68" s="9" t="str">
        <f t="shared" si="1"/>
        <v/>
      </c>
      <c r="I68" s="15"/>
      <c r="J68" s="14"/>
      <c r="M68" s="3" t="str">
        <f>IF(UPPER(TRIM(H68))="OK",COUNT($M$2:M67)+1,"")</f>
        <v/>
      </c>
    </row>
    <row r="69" spans="1:13" s="3" customFormat="1" ht="15" customHeight="1" x14ac:dyDescent="0.3">
      <c r="A69" s="12" t="str">
        <f t="shared" si="3"/>
        <v/>
      </c>
      <c r="B69" s="28" t="str">
        <f>IFERROR(_xlfn.XLOOKUP(C69,'Registro Visitas'!$A$3:$A$62,'Registro Visitas'!$B$3:$B$62),"")</f>
        <v/>
      </c>
      <c r="C69" s="9"/>
      <c r="D69" s="14"/>
      <c r="E69" s="14"/>
      <c r="F69" s="9"/>
      <c r="G69" s="9"/>
      <c r="H69" s="9" t="str">
        <f t="shared" si="1"/>
        <v/>
      </c>
      <c r="I69" s="15"/>
      <c r="J69" s="14"/>
      <c r="M69" s="3" t="str">
        <f>IF(UPPER(TRIM(H69))="OK",COUNT($M$2:M68)+1,"")</f>
        <v/>
      </c>
    </row>
    <row r="70" spans="1:13" s="3" customFormat="1" ht="15" customHeight="1" x14ac:dyDescent="0.3">
      <c r="A70" s="12" t="str">
        <f t="shared" si="3"/>
        <v/>
      </c>
      <c r="B70" s="28" t="str">
        <f>IFERROR(_xlfn.XLOOKUP(C70,'Registro Visitas'!$A$3:$A$62,'Registro Visitas'!$B$3:$B$62),"")</f>
        <v/>
      </c>
      <c r="C70" s="9"/>
      <c r="D70" s="14"/>
      <c r="E70" s="14"/>
      <c r="F70" s="9"/>
      <c r="G70" s="9"/>
      <c r="H70" s="9" t="str">
        <f t="shared" si="1"/>
        <v/>
      </c>
      <c r="I70" s="15"/>
      <c r="J70" s="14"/>
      <c r="M70" s="3" t="str">
        <f>IF(UPPER(TRIM(H70))="OK",COUNT($M$2:M69)+1,"")</f>
        <v/>
      </c>
    </row>
    <row r="71" spans="1:13" s="3" customFormat="1" ht="15" customHeight="1" x14ac:dyDescent="0.3">
      <c r="A71" s="12" t="str">
        <f t="shared" si="3"/>
        <v/>
      </c>
      <c r="B71" s="28" t="str">
        <f>IFERROR(_xlfn.XLOOKUP(C71,'Registro Visitas'!$A$3:$A$62,'Registro Visitas'!$B$3:$B$62),"")</f>
        <v/>
      </c>
      <c r="C71" s="9"/>
      <c r="D71" s="14"/>
      <c r="E71" s="14"/>
      <c r="F71" s="9"/>
      <c r="G71" s="9"/>
      <c r="H71" s="9" t="str">
        <f t="shared" si="1"/>
        <v/>
      </c>
      <c r="I71" s="15"/>
      <c r="J71" s="14"/>
      <c r="M71" s="3" t="str">
        <f>IF(UPPER(TRIM(H71))="OK",COUNT($M$2:M70)+1,"")</f>
        <v/>
      </c>
    </row>
    <row r="72" spans="1:13" s="3" customFormat="1" ht="15" customHeight="1" x14ac:dyDescent="0.3">
      <c r="A72" s="12" t="str">
        <f t="shared" si="3"/>
        <v/>
      </c>
      <c r="B72" s="28" t="str">
        <f>IFERROR(_xlfn.XLOOKUP(C72,'Registro Visitas'!$A$3:$A$62,'Registro Visitas'!$B$3:$B$62),"")</f>
        <v/>
      </c>
      <c r="C72" s="9"/>
      <c r="D72" s="14"/>
      <c r="E72" s="14"/>
      <c r="F72" s="9"/>
      <c r="G72" s="9"/>
      <c r="H72" s="9" t="str">
        <f t="shared" si="1"/>
        <v/>
      </c>
      <c r="I72" s="15"/>
      <c r="J72" s="14"/>
      <c r="M72" s="3" t="str">
        <f>IF(UPPER(TRIM(H72))="OK",COUNT($M$2:M71)+1,"")</f>
        <v/>
      </c>
    </row>
    <row r="73" spans="1:13" s="3" customFormat="1" ht="15" customHeight="1" x14ac:dyDescent="0.3">
      <c r="A73" s="12" t="str">
        <f t="shared" si="3"/>
        <v/>
      </c>
      <c r="B73" s="28" t="str">
        <f>IFERROR(_xlfn.XLOOKUP(C73,'Registro Visitas'!$A$3:$A$62,'Registro Visitas'!$B$3:$B$62),"")</f>
        <v/>
      </c>
      <c r="C73" s="9"/>
      <c r="D73" s="14"/>
      <c r="E73" s="14"/>
      <c r="F73" s="9"/>
      <c r="G73" s="9"/>
      <c r="H73" s="9" t="str">
        <f t="shared" si="1"/>
        <v/>
      </c>
      <c r="I73" s="15"/>
      <c r="J73" s="14"/>
      <c r="M73" s="3" t="str">
        <f>IF(UPPER(TRIM(H73))="OK",COUNT($M$2:M72)+1,"")</f>
        <v/>
      </c>
    </row>
    <row r="74" spans="1:13" s="3" customFormat="1" ht="15" customHeight="1" x14ac:dyDescent="0.3">
      <c r="A74" s="12" t="str">
        <f t="shared" si="3"/>
        <v/>
      </c>
      <c r="B74" s="28" t="str">
        <f>IFERROR(_xlfn.XLOOKUP(C74,'Registro Visitas'!$A$3:$A$62,'Registro Visitas'!$B$3:$B$62),"")</f>
        <v/>
      </c>
      <c r="C74" s="9"/>
      <c r="D74" s="14"/>
      <c r="E74" s="14"/>
      <c r="F74" s="9"/>
      <c r="G74" s="9"/>
      <c r="H74" s="9" t="str">
        <f t="shared" si="1"/>
        <v/>
      </c>
      <c r="I74" s="15"/>
      <c r="J74" s="14"/>
      <c r="M74" s="3" t="str">
        <f>IF(UPPER(TRIM(H74))="OK",COUNT($M$2:M73)+1,"")</f>
        <v/>
      </c>
    </row>
    <row r="75" spans="1:13" s="3" customFormat="1" ht="15" customHeight="1" x14ac:dyDescent="0.3">
      <c r="A75" s="12" t="str">
        <f t="shared" si="3"/>
        <v/>
      </c>
      <c r="B75" s="28" t="str">
        <f>IFERROR(_xlfn.XLOOKUP(C75,'Registro Visitas'!$A$3:$A$62,'Registro Visitas'!$B$3:$B$62),"")</f>
        <v/>
      </c>
      <c r="C75" s="9"/>
      <c r="D75" s="14"/>
      <c r="E75" s="14"/>
      <c r="F75" s="9"/>
      <c r="G75" s="9"/>
      <c r="H75" s="9" t="str">
        <f t="shared" si="1"/>
        <v/>
      </c>
      <c r="I75" s="15"/>
      <c r="J75" s="14"/>
      <c r="M75" s="3" t="str">
        <f>IF(UPPER(TRIM(H75))="OK",COUNT($M$2:M74)+1,"")</f>
        <v/>
      </c>
    </row>
    <row r="76" spans="1:13" s="3" customFormat="1" ht="15" customHeight="1" x14ac:dyDescent="0.3">
      <c r="A76" s="12" t="str">
        <f t="shared" si="3"/>
        <v/>
      </c>
      <c r="B76" s="28" t="str">
        <f>IFERROR(_xlfn.XLOOKUP(C76,'Registro Visitas'!$A$3:$A$62,'Registro Visitas'!$B$3:$B$62),"")</f>
        <v/>
      </c>
      <c r="C76" s="9"/>
      <c r="D76" s="14"/>
      <c r="E76" s="14"/>
      <c r="F76" s="9"/>
      <c r="G76" s="9"/>
      <c r="H76" s="9" t="str">
        <f t="shared" si="1"/>
        <v/>
      </c>
      <c r="I76" s="15"/>
      <c r="J76" s="14"/>
      <c r="M76" s="3" t="str">
        <f>IF(UPPER(TRIM(H76))="OK",COUNT($M$2:M75)+1,"")</f>
        <v/>
      </c>
    </row>
    <row r="77" spans="1:13" s="3" customFormat="1" ht="15" customHeight="1" x14ac:dyDescent="0.3">
      <c r="A77" s="12" t="str">
        <f t="shared" si="3"/>
        <v/>
      </c>
      <c r="B77" s="28" t="str">
        <f>IFERROR(_xlfn.XLOOKUP(C77,'Registro Visitas'!$A$3:$A$62,'Registro Visitas'!$B$3:$B$62),"")</f>
        <v/>
      </c>
      <c r="C77" s="9"/>
      <c r="D77" s="14"/>
      <c r="E77" s="14"/>
      <c r="F77" s="9"/>
      <c r="G77" s="9"/>
      <c r="H77" s="9" t="str">
        <f t="shared" si="1"/>
        <v/>
      </c>
      <c r="I77" s="15"/>
      <c r="J77" s="14"/>
      <c r="M77" s="3" t="str">
        <f>IF(UPPER(TRIM(H77))="OK",COUNT($M$2:M76)+1,"")</f>
        <v/>
      </c>
    </row>
    <row r="78" spans="1:13" s="3" customFormat="1" ht="15" customHeight="1" x14ac:dyDescent="0.3">
      <c r="A78" s="12" t="str">
        <f t="shared" si="3"/>
        <v/>
      </c>
      <c r="B78" s="28" t="str">
        <f>IFERROR(_xlfn.XLOOKUP(C78,'Registro Visitas'!$A$3:$A$62,'Registro Visitas'!$B$3:$B$62),"")</f>
        <v/>
      </c>
      <c r="C78" s="9"/>
      <c r="D78" s="14"/>
      <c r="E78" s="14"/>
      <c r="F78" s="9"/>
      <c r="G78" s="9"/>
      <c r="H78" s="9" t="str">
        <f t="shared" si="1"/>
        <v/>
      </c>
      <c r="I78" s="15"/>
      <c r="J78" s="14"/>
      <c r="M78" s="3" t="str">
        <f>IF(UPPER(TRIM(H78))="OK",COUNT($M$2:M77)+1,"")</f>
        <v/>
      </c>
    </row>
    <row r="79" spans="1:13" s="3" customFormat="1" ht="15" customHeight="1" x14ac:dyDescent="0.3">
      <c r="A79" s="12" t="str">
        <f t="shared" si="3"/>
        <v/>
      </c>
      <c r="B79" s="28" t="str">
        <f>IFERROR(_xlfn.XLOOKUP(C79,'Registro Visitas'!$A$3:$A$62,'Registro Visitas'!$B$3:$B$62),"")</f>
        <v/>
      </c>
      <c r="C79" s="9"/>
      <c r="D79" s="14"/>
      <c r="E79" s="14"/>
      <c r="F79" s="9"/>
      <c r="G79" s="9"/>
      <c r="H79" s="9" t="str">
        <f t="shared" si="1"/>
        <v/>
      </c>
      <c r="I79" s="15"/>
      <c r="J79" s="14"/>
      <c r="M79" s="3" t="str">
        <f>IF(UPPER(TRIM(H79))="OK",COUNT($M$2:M78)+1,"")</f>
        <v/>
      </c>
    </row>
    <row r="80" spans="1:13" s="3" customFormat="1" ht="15" customHeight="1" x14ac:dyDescent="0.3">
      <c r="A80" s="12" t="str">
        <f t="shared" si="3"/>
        <v/>
      </c>
      <c r="B80" s="28" t="str">
        <f>IFERROR(_xlfn.XLOOKUP(C80,'Registro Visitas'!$A$3:$A$62,'Registro Visitas'!$B$3:$B$62),"")</f>
        <v/>
      </c>
      <c r="C80" s="9"/>
      <c r="D80" s="14"/>
      <c r="E80" s="14"/>
      <c r="F80" s="9"/>
      <c r="G80" s="9"/>
      <c r="H80" s="9" t="str">
        <f t="shared" si="1"/>
        <v/>
      </c>
      <c r="I80" s="15"/>
      <c r="J80" s="14"/>
      <c r="M80" s="3" t="str">
        <f>IF(UPPER(TRIM(H80))="OK",COUNT($M$2:M79)+1,"")</f>
        <v/>
      </c>
    </row>
    <row r="81" spans="1:13" s="3" customFormat="1" ht="15" customHeight="1" x14ac:dyDescent="0.3">
      <c r="A81" s="12" t="str">
        <f t="shared" si="3"/>
        <v/>
      </c>
      <c r="B81" s="28" t="str">
        <f>IFERROR(_xlfn.XLOOKUP(C81,'Registro Visitas'!$A$3:$A$62,'Registro Visitas'!$B$3:$B$62),"")</f>
        <v/>
      </c>
      <c r="C81" s="9"/>
      <c r="D81" s="14"/>
      <c r="E81" s="14"/>
      <c r="F81" s="9"/>
      <c r="G81" s="9"/>
      <c r="H81" s="9" t="str">
        <f t="shared" ref="H81:H144" si="4">IF(E81="","","P")</f>
        <v/>
      </c>
      <c r="I81" s="15"/>
      <c r="J81" s="14"/>
      <c r="M81" s="3" t="str">
        <f>IF(UPPER(TRIM(H81))="OK",COUNT($M$2:M80)+1,"")</f>
        <v/>
      </c>
    </row>
    <row r="82" spans="1:13" s="3" customFormat="1" ht="15" customHeight="1" x14ac:dyDescent="0.3">
      <c r="A82" s="12" t="str">
        <f t="shared" si="3"/>
        <v/>
      </c>
      <c r="B82" s="28" t="str">
        <f>IFERROR(_xlfn.XLOOKUP(C82,'Registro Visitas'!$A$3:$A$62,'Registro Visitas'!$B$3:$B$62),"")</f>
        <v/>
      </c>
      <c r="C82" s="9"/>
      <c r="D82" s="14"/>
      <c r="E82" s="14"/>
      <c r="F82" s="9"/>
      <c r="G82" s="9"/>
      <c r="H82" s="9" t="str">
        <f t="shared" si="4"/>
        <v/>
      </c>
      <c r="I82" s="15"/>
      <c r="J82" s="14"/>
      <c r="M82" s="3" t="str">
        <f>IF(UPPER(TRIM(H82))="OK",COUNT($M$2:M81)+1,"")</f>
        <v/>
      </c>
    </row>
    <row r="83" spans="1:13" s="3" customFormat="1" ht="15" customHeight="1" x14ac:dyDescent="0.3">
      <c r="A83" s="12" t="str">
        <f t="shared" si="3"/>
        <v/>
      </c>
      <c r="B83" s="28" t="str">
        <f>IFERROR(_xlfn.XLOOKUP(C83,'Registro Visitas'!$A$3:$A$62,'Registro Visitas'!$B$3:$B$62),"")</f>
        <v/>
      </c>
      <c r="C83" s="9"/>
      <c r="D83" s="14"/>
      <c r="E83" s="14"/>
      <c r="F83" s="9"/>
      <c r="G83" s="9"/>
      <c r="H83" s="9" t="str">
        <f t="shared" si="4"/>
        <v/>
      </c>
      <c r="I83" s="15"/>
      <c r="J83" s="14"/>
      <c r="M83" s="3" t="str">
        <f>IF(UPPER(TRIM(H83))="OK",COUNT($M$2:M82)+1,"")</f>
        <v/>
      </c>
    </row>
    <row r="84" spans="1:13" s="3" customFormat="1" ht="15" customHeight="1" x14ac:dyDescent="0.3">
      <c r="A84" s="12" t="str">
        <f t="shared" si="3"/>
        <v/>
      </c>
      <c r="B84" s="28" t="str">
        <f>IFERROR(_xlfn.XLOOKUP(C84,'Registro Visitas'!$A$3:$A$62,'Registro Visitas'!$B$3:$B$62),"")</f>
        <v/>
      </c>
      <c r="C84" s="9"/>
      <c r="D84" s="14"/>
      <c r="E84" s="14"/>
      <c r="F84" s="9"/>
      <c r="G84" s="9"/>
      <c r="H84" s="9" t="str">
        <f t="shared" si="4"/>
        <v/>
      </c>
      <c r="I84" s="15"/>
      <c r="J84" s="14"/>
      <c r="M84" s="3" t="str">
        <f>IF(UPPER(TRIM(H84))="OK",COUNT($M$2:M83)+1,"")</f>
        <v/>
      </c>
    </row>
    <row r="85" spans="1:13" s="3" customFormat="1" ht="15" customHeight="1" x14ac:dyDescent="0.3">
      <c r="A85" s="12" t="str">
        <f t="shared" si="3"/>
        <v/>
      </c>
      <c r="B85" s="28" t="str">
        <f>IFERROR(_xlfn.XLOOKUP(C85,'Registro Visitas'!$A$3:$A$62,'Registro Visitas'!$B$3:$B$62),"")</f>
        <v/>
      </c>
      <c r="C85" s="9"/>
      <c r="D85" s="14"/>
      <c r="E85" s="14"/>
      <c r="F85" s="9"/>
      <c r="G85" s="9"/>
      <c r="H85" s="9" t="str">
        <f t="shared" si="4"/>
        <v/>
      </c>
      <c r="I85" s="15"/>
      <c r="J85" s="14"/>
      <c r="M85" s="3" t="str">
        <f>IF(UPPER(TRIM(H85))="OK",COUNT($M$2:M84)+1,"")</f>
        <v/>
      </c>
    </row>
    <row r="86" spans="1:13" s="3" customFormat="1" ht="15" customHeight="1" x14ac:dyDescent="0.3">
      <c r="A86" s="12" t="str">
        <f t="shared" si="3"/>
        <v/>
      </c>
      <c r="B86" s="28" t="str">
        <f>IFERROR(_xlfn.XLOOKUP(C86,'Registro Visitas'!$A$3:$A$62,'Registro Visitas'!$B$3:$B$62),"")</f>
        <v/>
      </c>
      <c r="C86" s="9"/>
      <c r="D86" s="14"/>
      <c r="E86" s="14"/>
      <c r="F86" s="9"/>
      <c r="G86" s="9"/>
      <c r="H86" s="9" t="str">
        <f t="shared" si="4"/>
        <v/>
      </c>
      <c r="I86" s="15"/>
      <c r="J86" s="14"/>
      <c r="M86" s="3" t="str">
        <f>IF(UPPER(TRIM(H86))="OK",COUNT($M$2:M85)+1,"")</f>
        <v/>
      </c>
    </row>
    <row r="87" spans="1:13" s="3" customFormat="1" ht="15" customHeight="1" x14ac:dyDescent="0.3">
      <c r="A87" s="12" t="str">
        <f t="shared" si="3"/>
        <v/>
      </c>
      <c r="B87" s="28" t="str">
        <f>IFERROR(_xlfn.XLOOKUP(C87,'Registro Visitas'!$A$3:$A$62,'Registro Visitas'!$B$3:$B$62),"")</f>
        <v/>
      </c>
      <c r="C87" s="9"/>
      <c r="D87" s="14"/>
      <c r="E87" s="14"/>
      <c r="F87" s="9"/>
      <c r="G87" s="9"/>
      <c r="H87" s="9" t="str">
        <f t="shared" si="4"/>
        <v/>
      </c>
      <c r="I87" s="15"/>
      <c r="J87" s="14"/>
      <c r="M87" s="3" t="str">
        <f>IF(UPPER(TRIM(H87))="OK",COUNT($M$2:M86)+1,"")</f>
        <v/>
      </c>
    </row>
    <row r="88" spans="1:13" s="3" customFormat="1" ht="15" customHeight="1" x14ac:dyDescent="0.3">
      <c r="A88" s="12" t="str">
        <f t="shared" si="3"/>
        <v/>
      </c>
      <c r="B88" s="28" t="str">
        <f>IFERROR(_xlfn.XLOOKUP(C88,'Registro Visitas'!$A$3:$A$62,'Registro Visitas'!$B$3:$B$62),"")</f>
        <v/>
      </c>
      <c r="C88" s="9"/>
      <c r="D88" s="14"/>
      <c r="E88" s="14"/>
      <c r="F88" s="9"/>
      <c r="G88" s="9"/>
      <c r="H88" s="9" t="str">
        <f t="shared" si="4"/>
        <v/>
      </c>
      <c r="I88" s="15"/>
      <c r="J88" s="14"/>
      <c r="M88" s="3" t="str">
        <f>IF(UPPER(TRIM(H88))="OK",COUNT($M$2:M87)+1,"")</f>
        <v/>
      </c>
    </row>
    <row r="89" spans="1:13" s="3" customFormat="1" ht="15" customHeight="1" x14ac:dyDescent="0.3">
      <c r="A89" s="12" t="str">
        <f t="shared" si="3"/>
        <v/>
      </c>
      <c r="B89" s="28" t="str">
        <f>IFERROR(_xlfn.XLOOKUP(C89,'Registro Visitas'!$A$3:$A$62,'Registro Visitas'!$B$3:$B$62),"")</f>
        <v/>
      </c>
      <c r="C89" s="9"/>
      <c r="D89" s="14"/>
      <c r="E89" s="14"/>
      <c r="F89" s="9"/>
      <c r="G89" s="9"/>
      <c r="H89" s="9" t="str">
        <f t="shared" si="4"/>
        <v/>
      </c>
      <c r="I89" s="15"/>
      <c r="J89" s="14"/>
      <c r="M89" s="3" t="str">
        <f>IF(UPPER(TRIM(H89))="OK",COUNT($M$2:M88)+1,"")</f>
        <v/>
      </c>
    </row>
    <row r="90" spans="1:13" s="3" customFormat="1" ht="15" customHeight="1" x14ac:dyDescent="0.3">
      <c r="A90" s="12" t="str">
        <f t="shared" si="3"/>
        <v/>
      </c>
      <c r="B90" s="28" t="str">
        <f>IFERROR(_xlfn.XLOOKUP(C90,'Registro Visitas'!$A$3:$A$62,'Registro Visitas'!$B$3:$B$62),"")</f>
        <v/>
      </c>
      <c r="C90" s="9"/>
      <c r="D90" s="14"/>
      <c r="E90" s="14"/>
      <c r="F90" s="9"/>
      <c r="G90" s="9"/>
      <c r="H90" s="9" t="str">
        <f t="shared" si="4"/>
        <v/>
      </c>
      <c r="I90" s="15"/>
      <c r="J90" s="14"/>
      <c r="M90" s="3" t="str">
        <f>IF(UPPER(TRIM(H90))="OK",COUNT($M$2:M89)+1,"")</f>
        <v/>
      </c>
    </row>
    <row r="91" spans="1:13" s="3" customFormat="1" ht="15" customHeight="1" x14ac:dyDescent="0.3">
      <c r="A91" s="12" t="str">
        <f t="shared" si="3"/>
        <v/>
      </c>
      <c r="B91" s="28" t="str">
        <f>IFERROR(_xlfn.XLOOKUP(C91,'Registro Visitas'!$A$3:$A$62,'Registro Visitas'!$B$3:$B$62),"")</f>
        <v/>
      </c>
      <c r="C91" s="9"/>
      <c r="D91" s="14"/>
      <c r="E91" s="14"/>
      <c r="F91" s="9"/>
      <c r="G91" s="9"/>
      <c r="H91" s="9" t="str">
        <f t="shared" si="4"/>
        <v/>
      </c>
      <c r="I91" s="15"/>
      <c r="J91" s="14"/>
      <c r="M91" s="3" t="str">
        <f>IF(UPPER(TRIM(H91))="OK",COUNT($M$2:M90)+1,"")</f>
        <v/>
      </c>
    </row>
    <row r="92" spans="1:13" s="3" customFormat="1" ht="15" customHeight="1" x14ac:dyDescent="0.3">
      <c r="A92" s="12" t="str">
        <f t="shared" si="3"/>
        <v/>
      </c>
      <c r="B92" s="28" t="str">
        <f>IFERROR(_xlfn.XLOOKUP(C92,'Registro Visitas'!$A$3:$A$62,'Registro Visitas'!$B$3:$B$62),"")</f>
        <v/>
      </c>
      <c r="C92" s="9"/>
      <c r="D92" s="14"/>
      <c r="E92" s="14"/>
      <c r="F92" s="9"/>
      <c r="G92" s="9"/>
      <c r="H92" s="9" t="str">
        <f t="shared" si="4"/>
        <v/>
      </c>
      <c r="I92" s="15"/>
      <c r="J92" s="14"/>
      <c r="M92" s="3" t="str">
        <f>IF(UPPER(TRIM(H92))="OK",COUNT($M$2:M91)+1,"")</f>
        <v/>
      </c>
    </row>
    <row r="93" spans="1:13" s="3" customFormat="1" ht="15" customHeight="1" x14ac:dyDescent="0.3">
      <c r="A93" s="12" t="str">
        <f t="shared" si="3"/>
        <v/>
      </c>
      <c r="B93" s="28" t="str">
        <f>IFERROR(_xlfn.XLOOKUP(C93,'Registro Visitas'!$A$3:$A$62,'Registro Visitas'!$B$3:$B$62),"")</f>
        <v/>
      </c>
      <c r="C93" s="9"/>
      <c r="D93" s="14"/>
      <c r="E93" s="14"/>
      <c r="F93" s="9"/>
      <c r="G93" s="9"/>
      <c r="H93" s="9" t="str">
        <f t="shared" si="4"/>
        <v/>
      </c>
      <c r="I93" s="15"/>
      <c r="J93" s="14"/>
      <c r="M93" s="3" t="str">
        <f>IF(UPPER(TRIM(H93))="OK",COUNT($M$2:M92)+1,"")</f>
        <v/>
      </c>
    </row>
    <row r="94" spans="1:13" s="3" customFormat="1" ht="15" customHeight="1" x14ac:dyDescent="0.3">
      <c r="A94" s="12" t="str">
        <f t="shared" si="3"/>
        <v/>
      </c>
      <c r="B94" s="28" t="str">
        <f>IFERROR(_xlfn.XLOOKUP(C94,'Registro Visitas'!$A$3:$A$62,'Registro Visitas'!$B$3:$B$62),"")</f>
        <v/>
      </c>
      <c r="C94" s="9"/>
      <c r="D94" s="14"/>
      <c r="E94" s="14"/>
      <c r="F94" s="9"/>
      <c r="G94" s="9"/>
      <c r="H94" s="9" t="str">
        <f t="shared" si="4"/>
        <v/>
      </c>
      <c r="I94" s="15"/>
      <c r="J94" s="14"/>
      <c r="M94" s="3" t="str">
        <f>IF(UPPER(TRIM(H94))="OK",COUNT($M$2:M93)+1,"")</f>
        <v/>
      </c>
    </row>
    <row r="95" spans="1:13" s="3" customFormat="1" ht="15" customHeight="1" x14ac:dyDescent="0.3">
      <c r="A95" s="12" t="str">
        <f t="shared" si="3"/>
        <v/>
      </c>
      <c r="B95" s="28" t="str">
        <f>IFERROR(_xlfn.XLOOKUP(C95,'Registro Visitas'!$A$3:$A$62,'Registro Visitas'!$B$3:$B$62),"")</f>
        <v/>
      </c>
      <c r="C95" s="9"/>
      <c r="D95" s="14"/>
      <c r="E95" s="14"/>
      <c r="F95" s="9"/>
      <c r="G95" s="9"/>
      <c r="H95" s="9" t="str">
        <f t="shared" si="4"/>
        <v/>
      </c>
      <c r="I95" s="15"/>
      <c r="J95" s="14"/>
      <c r="M95" s="3" t="str">
        <f>IF(UPPER(TRIM(H95))="OK",COUNT($M$2:M94)+1,"")</f>
        <v/>
      </c>
    </row>
    <row r="96" spans="1:13" s="3" customFormat="1" ht="15" customHeight="1" x14ac:dyDescent="0.3">
      <c r="A96" s="12" t="str">
        <f t="shared" si="3"/>
        <v/>
      </c>
      <c r="B96" s="28" t="str">
        <f>IFERROR(_xlfn.XLOOKUP(C96,'Registro Visitas'!$A$3:$A$62,'Registro Visitas'!$B$3:$B$62),"")</f>
        <v/>
      </c>
      <c r="C96" s="9"/>
      <c r="D96" s="14"/>
      <c r="E96" s="14"/>
      <c r="F96" s="9"/>
      <c r="G96" s="9"/>
      <c r="H96" s="9" t="str">
        <f t="shared" si="4"/>
        <v/>
      </c>
      <c r="I96" s="15"/>
      <c r="J96" s="14"/>
      <c r="M96" s="3" t="str">
        <f>IF(UPPER(TRIM(H96))="OK",COUNT($M$2:M95)+1,"")</f>
        <v/>
      </c>
    </row>
    <row r="97" spans="1:13" s="3" customFormat="1" ht="15" customHeight="1" x14ac:dyDescent="0.3">
      <c r="A97" s="12" t="str">
        <f t="shared" si="3"/>
        <v/>
      </c>
      <c r="B97" s="28" t="str">
        <f>IFERROR(_xlfn.XLOOKUP(C97,'Registro Visitas'!$A$3:$A$62,'Registro Visitas'!$B$3:$B$62),"")</f>
        <v/>
      </c>
      <c r="C97" s="9"/>
      <c r="D97" s="14"/>
      <c r="E97" s="14"/>
      <c r="F97" s="9"/>
      <c r="G97" s="9"/>
      <c r="H97" s="9" t="str">
        <f t="shared" si="4"/>
        <v/>
      </c>
      <c r="I97" s="15"/>
      <c r="J97" s="14"/>
      <c r="M97" s="3" t="str">
        <f>IF(UPPER(TRIM(H97))="OK",COUNT($M$2:M96)+1,"")</f>
        <v/>
      </c>
    </row>
    <row r="98" spans="1:13" s="3" customFormat="1" ht="15" customHeight="1" x14ac:dyDescent="0.3">
      <c r="A98" s="12" t="str">
        <f t="shared" si="3"/>
        <v/>
      </c>
      <c r="B98" s="28" t="str">
        <f>IFERROR(_xlfn.XLOOKUP(C98,'Registro Visitas'!$A$3:$A$62,'Registro Visitas'!$B$3:$B$62),"")</f>
        <v/>
      </c>
      <c r="C98" s="9"/>
      <c r="D98" s="14"/>
      <c r="E98" s="14"/>
      <c r="F98" s="9"/>
      <c r="G98" s="9"/>
      <c r="H98" s="9" t="str">
        <f t="shared" si="4"/>
        <v/>
      </c>
      <c r="I98" s="15"/>
      <c r="J98" s="14"/>
      <c r="M98" s="3" t="str">
        <f>IF(UPPER(TRIM(H98))="OK",COUNT($M$2:M97)+1,"")</f>
        <v/>
      </c>
    </row>
    <row r="99" spans="1:13" s="3" customFormat="1" ht="15" customHeight="1" x14ac:dyDescent="0.3">
      <c r="A99" s="12" t="str">
        <f t="shared" ref="A99:A130" si="5">IF(B99="","","INFO-"&amp;TEXT(ROW()-2,"000"))</f>
        <v/>
      </c>
      <c r="B99" s="28" t="str">
        <f>IFERROR(_xlfn.XLOOKUP(C99,'Registro Visitas'!$A$3:$A$62,'Registro Visitas'!$B$3:$B$62),"")</f>
        <v/>
      </c>
      <c r="C99" s="9"/>
      <c r="D99" s="14"/>
      <c r="E99" s="14"/>
      <c r="F99" s="9"/>
      <c r="G99" s="9"/>
      <c r="H99" s="9" t="str">
        <f t="shared" si="4"/>
        <v/>
      </c>
      <c r="I99" s="15"/>
      <c r="J99" s="14"/>
      <c r="M99" s="3" t="str">
        <f>IF(UPPER(TRIM(H99))="OK",COUNT($M$2:M98)+1,"")</f>
        <v/>
      </c>
    </row>
    <row r="100" spans="1:13" s="3" customFormat="1" ht="15" customHeight="1" x14ac:dyDescent="0.3">
      <c r="A100" s="12" t="str">
        <f t="shared" si="5"/>
        <v/>
      </c>
      <c r="B100" s="28" t="str">
        <f>IFERROR(_xlfn.XLOOKUP(C100,'Registro Visitas'!$A$3:$A$62,'Registro Visitas'!$B$3:$B$62),"")</f>
        <v/>
      </c>
      <c r="C100" s="9"/>
      <c r="D100" s="14"/>
      <c r="E100" s="14"/>
      <c r="F100" s="9"/>
      <c r="G100" s="9"/>
      <c r="H100" s="9" t="str">
        <f t="shared" si="4"/>
        <v/>
      </c>
      <c r="I100" s="15"/>
      <c r="J100" s="14"/>
      <c r="M100" s="3" t="str">
        <f>IF(UPPER(TRIM(H100))="OK",COUNT($M$2:M99)+1,"")</f>
        <v/>
      </c>
    </row>
    <row r="101" spans="1:13" s="3" customFormat="1" ht="15" customHeight="1" x14ac:dyDescent="0.3">
      <c r="A101" s="12" t="str">
        <f t="shared" si="5"/>
        <v/>
      </c>
      <c r="B101" s="28" t="str">
        <f>IFERROR(_xlfn.XLOOKUP(C101,'Registro Visitas'!$A$3:$A$62,'Registro Visitas'!$B$3:$B$62),"")</f>
        <v/>
      </c>
      <c r="C101" s="9"/>
      <c r="D101" s="14"/>
      <c r="E101" s="14"/>
      <c r="F101" s="9"/>
      <c r="G101" s="9"/>
      <c r="H101" s="9" t="str">
        <f t="shared" si="4"/>
        <v/>
      </c>
      <c r="I101" s="15"/>
      <c r="J101" s="14"/>
      <c r="M101" s="3" t="str">
        <f>IF(UPPER(TRIM(H101))="OK",COUNT($M$2:M100)+1,"")</f>
        <v/>
      </c>
    </row>
    <row r="102" spans="1:13" s="3" customFormat="1" ht="15" customHeight="1" x14ac:dyDescent="0.3">
      <c r="A102" s="12" t="str">
        <f t="shared" si="5"/>
        <v/>
      </c>
      <c r="B102" s="28" t="str">
        <f>IFERROR(_xlfn.XLOOKUP(C102,'Registro Visitas'!$A$3:$A$62,'Registro Visitas'!$B$3:$B$62),"")</f>
        <v/>
      </c>
      <c r="C102" s="9"/>
      <c r="D102" s="14"/>
      <c r="E102" s="14"/>
      <c r="F102" s="9"/>
      <c r="G102" s="9"/>
      <c r="H102" s="9" t="str">
        <f t="shared" si="4"/>
        <v/>
      </c>
      <c r="I102" s="15"/>
      <c r="J102" s="14"/>
      <c r="M102" s="3" t="str">
        <f>IF(UPPER(TRIM(H102))="OK",COUNT($M$2:M101)+1,"")</f>
        <v/>
      </c>
    </row>
    <row r="103" spans="1:13" s="3" customFormat="1" ht="15" customHeight="1" x14ac:dyDescent="0.3">
      <c r="A103" s="12" t="str">
        <f t="shared" si="5"/>
        <v/>
      </c>
      <c r="B103" s="28" t="str">
        <f>IFERROR(_xlfn.XLOOKUP(C103,'Registro Visitas'!$A$3:$A$62,'Registro Visitas'!$B$3:$B$62),"")</f>
        <v/>
      </c>
      <c r="C103" s="9"/>
      <c r="D103" s="14"/>
      <c r="E103" s="14"/>
      <c r="F103" s="9"/>
      <c r="G103" s="9"/>
      <c r="H103" s="9" t="str">
        <f t="shared" si="4"/>
        <v/>
      </c>
      <c r="I103" s="15"/>
      <c r="J103" s="14"/>
      <c r="M103" s="3" t="str">
        <f>IF(UPPER(TRIM(H103))="OK",COUNT($M$2:M102)+1,"")</f>
        <v/>
      </c>
    </row>
    <row r="104" spans="1:13" s="3" customFormat="1" ht="15" customHeight="1" x14ac:dyDescent="0.3">
      <c r="A104" s="12" t="str">
        <f t="shared" si="5"/>
        <v/>
      </c>
      <c r="B104" s="28" t="str">
        <f>IFERROR(_xlfn.XLOOKUP(C104,'Registro Visitas'!$A$3:$A$62,'Registro Visitas'!$B$3:$B$62),"")</f>
        <v/>
      </c>
      <c r="C104" s="9"/>
      <c r="D104" s="14"/>
      <c r="E104" s="14"/>
      <c r="F104" s="9"/>
      <c r="G104" s="9"/>
      <c r="H104" s="9" t="str">
        <f t="shared" si="4"/>
        <v/>
      </c>
      <c r="I104" s="15"/>
      <c r="J104" s="14"/>
      <c r="M104" s="3" t="str">
        <f>IF(UPPER(TRIM(H104))="OK",COUNT($M$2:M103)+1,"")</f>
        <v/>
      </c>
    </row>
    <row r="105" spans="1:13" ht="15" customHeight="1" x14ac:dyDescent="0.3">
      <c r="A105" s="12" t="str">
        <f t="shared" si="5"/>
        <v/>
      </c>
      <c r="B105" s="28" t="str">
        <f>IFERROR(_xlfn.XLOOKUP(C105,'Registro Visitas'!$A$3:$A$62,'Registro Visitas'!$B$3:$B$62),"")</f>
        <v/>
      </c>
      <c r="C105" s="9"/>
      <c r="D105" s="14"/>
      <c r="E105" s="14"/>
      <c r="F105" s="8"/>
      <c r="G105" s="9"/>
      <c r="H105" s="9" t="str">
        <f t="shared" si="4"/>
        <v/>
      </c>
      <c r="I105" s="13"/>
      <c r="J105" s="14"/>
      <c r="M105" t="str">
        <f>IF(UPPER(TRIM(H105))="OK",COUNT($M$2:M104)+1,"")</f>
        <v/>
      </c>
    </row>
    <row r="106" spans="1:13" ht="15" customHeight="1" x14ac:dyDescent="0.3">
      <c r="A106" s="12" t="str">
        <f t="shared" si="5"/>
        <v/>
      </c>
      <c r="B106" s="28" t="str">
        <f>IFERROR(_xlfn.XLOOKUP(C106,'Registro Visitas'!$A$3:$A$62,'Registro Visitas'!$B$3:$B$62),"")</f>
        <v/>
      </c>
      <c r="C106" s="9"/>
      <c r="D106" s="14"/>
      <c r="E106" s="14"/>
      <c r="F106" s="8"/>
      <c r="G106" s="9"/>
      <c r="H106" s="9" t="str">
        <f t="shared" si="4"/>
        <v/>
      </c>
      <c r="I106" s="13"/>
      <c r="J106" s="14"/>
      <c r="M106" t="str">
        <f>IF(UPPER(TRIM(H106))="OK",COUNT($M$2:M105)+1,"")</f>
        <v/>
      </c>
    </row>
    <row r="107" spans="1:13" ht="15" customHeight="1" x14ac:dyDescent="0.3">
      <c r="A107" s="12" t="str">
        <f t="shared" si="5"/>
        <v/>
      </c>
      <c r="B107" s="28" t="str">
        <f>IFERROR(_xlfn.XLOOKUP(C107,'Registro Visitas'!$A$3:$A$62,'Registro Visitas'!$B$3:$B$62),"")</f>
        <v/>
      </c>
      <c r="C107" s="9"/>
      <c r="D107" s="14"/>
      <c r="E107" s="14"/>
      <c r="F107" s="8"/>
      <c r="G107" s="9"/>
      <c r="H107" s="9" t="str">
        <f t="shared" si="4"/>
        <v/>
      </c>
      <c r="I107" s="13"/>
      <c r="J107" s="14"/>
      <c r="M107" t="str">
        <f>IF(UPPER(TRIM(H107))="OK",COUNT($M$2:M106)+1,"")</f>
        <v/>
      </c>
    </row>
    <row r="108" spans="1:13" ht="15" customHeight="1" x14ac:dyDescent="0.3">
      <c r="A108" s="12" t="str">
        <f t="shared" si="5"/>
        <v/>
      </c>
      <c r="B108" s="28" t="str">
        <f>IFERROR(_xlfn.XLOOKUP(C108,'Registro Visitas'!$A$3:$A$62,'Registro Visitas'!$B$3:$B$62),"")</f>
        <v/>
      </c>
      <c r="C108" s="9"/>
      <c r="D108" s="14"/>
      <c r="E108" s="14"/>
      <c r="F108" s="8"/>
      <c r="G108" s="9"/>
      <c r="H108" s="9" t="str">
        <f t="shared" si="4"/>
        <v/>
      </c>
      <c r="I108" s="13"/>
      <c r="J108" s="14"/>
      <c r="M108" t="str">
        <f>IF(UPPER(TRIM(H108))="OK",COUNT($M$2:M107)+1,"")</f>
        <v/>
      </c>
    </row>
    <row r="109" spans="1:13" ht="15" customHeight="1" x14ac:dyDescent="0.3">
      <c r="A109" s="12" t="str">
        <f t="shared" si="5"/>
        <v/>
      </c>
      <c r="B109" s="28" t="str">
        <f>IFERROR(_xlfn.XLOOKUP(C109,'Registro Visitas'!$A$3:$A$62,'Registro Visitas'!$B$3:$B$62),"")</f>
        <v/>
      </c>
      <c r="C109" s="9"/>
      <c r="D109" s="14"/>
      <c r="E109" s="14"/>
      <c r="F109" s="8"/>
      <c r="G109" s="9"/>
      <c r="H109" s="9" t="str">
        <f t="shared" si="4"/>
        <v/>
      </c>
      <c r="I109" s="13"/>
      <c r="J109" s="14"/>
      <c r="M109" t="str">
        <f>IF(UPPER(TRIM(H109))="OK",COUNT($M$2:M108)+1,"")</f>
        <v/>
      </c>
    </row>
    <row r="110" spans="1:13" ht="15" customHeight="1" x14ac:dyDescent="0.3">
      <c r="A110" s="12" t="str">
        <f t="shared" si="5"/>
        <v/>
      </c>
      <c r="B110" s="28" t="str">
        <f>IFERROR(_xlfn.XLOOKUP(C110,'Registro Visitas'!$A$3:$A$62,'Registro Visitas'!$B$3:$B$62),"")</f>
        <v/>
      </c>
      <c r="C110" s="9"/>
      <c r="D110" s="14"/>
      <c r="E110" s="14"/>
      <c r="F110" s="8"/>
      <c r="G110" s="9"/>
      <c r="H110" s="9" t="str">
        <f t="shared" si="4"/>
        <v/>
      </c>
      <c r="I110" s="13"/>
      <c r="J110" s="14"/>
      <c r="M110" t="str">
        <f>IF(UPPER(TRIM(H110))="OK",COUNT($M$2:M109)+1,"")</f>
        <v/>
      </c>
    </row>
    <row r="111" spans="1:13" ht="15" customHeight="1" x14ac:dyDescent="0.3">
      <c r="A111" s="12" t="str">
        <f t="shared" si="5"/>
        <v/>
      </c>
      <c r="B111" s="28" t="str">
        <f>IFERROR(_xlfn.XLOOKUP(C111,'Registro Visitas'!$A$3:$A$62,'Registro Visitas'!$B$3:$B$62),"")</f>
        <v/>
      </c>
      <c r="C111" s="9"/>
      <c r="D111" s="14"/>
      <c r="E111" s="14"/>
      <c r="F111" s="8"/>
      <c r="G111" s="9"/>
      <c r="H111" s="9" t="str">
        <f t="shared" si="4"/>
        <v/>
      </c>
      <c r="I111" s="13"/>
      <c r="J111" s="14"/>
      <c r="M111" t="str">
        <f>IF(UPPER(TRIM(H111))="OK",COUNT($M$2:M110)+1,"")</f>
        <v/>
      </c>
    </row>
    <row r="112" spans="1:13" ht="15" customHeight="1" x14ac:dyDescent="0.3">
      <c r="A112" s="12" t="str">
        <f t="shared" si="5"/>
        <v/>
      </c>
      <c r="B112" s="28" t="str">
        <f>IFERROR(_xlfn.XLOOKUP(C112,'Registro Visitas'!$A$3:$A$62,'Registro Visitas'!$B$3:$B$62),"")</f>
        <v/>
      </c>
      <c r="C112" s="9"/>
      <c r="D112" s="14"/>
      <c r="E112" s="14"/>
      <c r="F112" s="8"/>
      <c r="G112" s="9"/>
      <c r="H112" s="9" t="str">
        <f t="shared" si="4"/>
        <v/>
      </c>
      <c r="I112" s="13"/>
      <c r="J112" s="14"/>
      <c r="M112" t="str">
        <f>IF(UPPER(TRIM(H112))="OK",COUNT($M$2:M111)+1,"")</f>
        <v/>
      </c>
    </row>
    <row r="113" spans="1:13" ht="15" customHeight="1" x14ac:dyDescent="0.3">
      <c r="A113" s="12" t="str">
        <f t="shared" si="5"/>
        <v/>
      </c>
      <c r="B113" s="28" t="str">
        <f>IFERROR(_xlfn.XLOOKUP(C113,'Registro Visitas'!$A$3:$A$62,'Registro Visitas'!$B$3:$B$62),"")</f>
        <v/>
      </c>
      <c r="C113" s="9"/>
      <c r="D113" s="14"/>
      <c r="E113" s="14"/>
      <c r="F113" s="8"/>
      <c r="G113" s="9"/>
      <c r="H113" s="9" t="str">
        <f t="shared" si="4"/>
        <v/>
      </c>
      <c r="I113" s="13"/>
      <c r="J113" s="14"/>
      <c r="M113" t="str">
        <f>IF(UPPER(TRIM(H113))="OK",COUNT($M$2:M112)+1,"")</f>
        <v/>
      </c>
    </row>
    <row r="114" spans="1:13" ht="15" customHeight="1" x14ac:dyDescent="0.3">
      <c r="A114" s="12" t="str">
        <f t="shared" si="5"/>
        <v/>
      </c>
      <c r="B114" s="28" t="str">
        <f>IFERROR(_xlfn.XLOOKUP(C114,'Registro Visitas'!$A$3:$A$62,'Registro Visitas'!$B$3:$B$62),"")</f>
        <v/>
      </c>
      <c r="C114" s="9"/>
      <c r="D114" s="14"/>
      <c r="E114" s="14"/>
      <c r="F114" s="8"/>
      <c r="G114" s="9"/>
      <c r="H114" s="9" t="str">
        <f t="shared" si="4"/>
        <v/>
      </c>
      <c r="I114" s="13"/>
      <c r="J114" s="14"/>
      <c r="M114" t="str">
        <f>IF(UPPER(TRIM(H114))="OK",COUNT($M$2:M113)+1,"")</f>
        <v/>
      </c>
    </row>
    <row r="115" spans="1:13" ht="15" customHeight="1" x14ac:dyDescent="0.3">
      <c r="A115" s="12" t="str">
        <f t="shared" si="5"/>
        <v/>
      </c>
      <c r="B115" s="28" t="str">
        <f>IFERROR(_xlfn.XLOOKUP(C115,'Registro Visitas'!$A$3:$A$62,'Registro Visitas'!$B$3:$B$62),"")</f>
        <v/>
      </c>
      <c r="C115" s="9"/>
      <c r="D115" s="14"/>
      <c r="E115" s="14"/>
      <c r="F115" s="8"/>
      <c r="G115" s="9"/>
      <c r="H115" s="9" t="str">
        <f t="shared" si="4"/>
        <v/>
      </c>
      <c r="I115" s="13"/>
      <c r="J115" s="14"/>
      <c r="M115" t="str">
        <f>IF(UPPER(TRIM(H115))="OK",COUNT($M$2:M114)+1,"")</f>
        <v/>
      </c>
    </row>
    <row r="116" spans="1:13" ht="15" customHeight="1" x14ac:dyDescent="0.3">
      <c r="A116" s="12" t="str">
        <f t="shared" si="5"/>
        <v/>
      </c>
      <c r="B116" s="28" t="str">
        <f>IFERROR(_xlfn.XLOOKUP(C116,'Registro Visitas'!$A$3:$A$62,'Registro Visitas'!$B$3:$B$62),"")</f>
        <v/>
      </c>
      <c r="C116" s="9"/>
      <c r="D116" s="14"/>
      <c r="E116" s="14"/>
      <c r="F116" s="8"/>
      <c r="G116" s="9"/>
      <c r="H116" s="9" t="str">
        <f t="shared" si="4"/>
        <v/>
      </c>
      <c r="I116" s="13"/>
      <c r="J116" s="14"/>
      <c r="M116" t="str">
        <f>IF(UPPER(TRIM(H116))="OK",COUNT($M$2:M115)+1,"")</f>
        <v/>
      </c>
    </row>
    <row r="117" spans="1:13" ht="15" customHeight="1" x14ac:dyDescent="0.3">
      <c r="A117" s="12" t="str">
        <f t="shared" si="5"/>
        <v/>
      </c>
      <c r="B117" s="28" t="str">
        <f>IFERROR(_xlfn.XLOOKUP(C117,'Registro Visitas'!$A$3:$A$62,'Registro Visitas'!$B$3:$B$62),"")</f>
        <v/>
      </c>
      <c r="C117" s="9"/>
      <c r="D117" s="14"/>
      <c r="E117" s="14"/>
      <c r="F117" s="8"/>
      <c r="G117" s="9"/>
      <c r="H117" s="9" t="str">
        <f t="shared" si="4"/>
        <v/>
      </c>
      <c r="I117" s="13"/>
      <c r="J117" s="14"/>
      <c r="M117" t="str">
        <f>IF(UPPER(TRIM(H117))="OK",COUNT($M$2:M116)+1,"")</f>
        <v/>
      </c>
    </row>
    <row r="118" spans="1:13" ht="15" customHeight="1" x14ac:dyDescent="0.3">
      <c r="A118" s="12" t="str">
        <f t="shared" si="5"/>
        <v/>
      </c>
      <c r="B118" s="28" t="str">
        <f>IFERROR(_xlfn.XLOOKUP(C118,'Registro Visitas'!$A$3:$A$62,'Registro Visitas'!$B$3:$B$62),"")</f>
        <v/>
      </c>
      <c r="C118" s="9"/>
      <c r="D118" s="14"/>
      <c r="E118" s="14"/>
      <c r="F118" s="8"/>
      <c r="G118" s="9"/>
      <c r="H118" s="9" t="str">
        <f t="shared" si="4"/>
        <v/>
      </c>
      <c r="I118" s="13"/>
      <c r="J118" s="14"/>
      <c r="M118" t="str">
        <f>IF(UPPER(TRIM(H118))="OK",COUNT($M$2:M117)+1,"")</f>
        <v/>
      </c>
    </row>
    <row r="119" spans="1:13" ht="15" customHeight="1" x14ac:dyDescent="0.3">
      <c r="A119" s="12" t="str">
        <f t="shared" si="5"/>
        <v/>
      </c>
      <c r="B119" s="28" t="str">
        <f>IFERROR(_xlfn.XLOOKUP(C119,'Registro Visitas'!$A$3:$A$62,'Registro Visitas'!$B$3:$B$62),"")</f>
        <v/>
      </c>
      <c r="C119" s="9"/>
      <c r="D119" s="14"/>
      <c r="E119" s="14"/>
      <c r="F119" s="8"/>
      <c r="G119" s="9"/>
      <c r="H119" s="9" t="str">
        <f t="shared" si="4"/>
        <v/>
      </c>
      <c r="I119" s="13"/>
      <c r="J119" s="14"/>
      <c r="M119" t="str">
        <f>IF(UPPER(TRIM(H119))="OK",COUNT($M$2:M118)+1,"")</f>
        <v/>
      </c>
    </row>
    <row r="120" spans="1:13" ht="15" customHeight="1" x14ac:dyDescent="0.3">
      <c r="A120" s="12" t="str">
        <f t="shared" si="5"/>
        <v/>
      </c>
      <c r="B120" s="28" t="str">
        <f>IFERROR(_xlfn.XLOOKUP(C120,'Registro Visitas'!$A$3:$A$62,'Registro Visitas'!$B$3:$B$62),"")</f>
        <v/>
      </c>
      <c r="C120" s="9"/>
      <c r="D120" s="14"/>
      <c r="E120" s="14"/>
      <c r="F120" s="8"/>
      <c r="G120" s="9"/>
      <c r="H120" s="9" t="str">
        <f t="shared" si="4"/>
        <v/>
      </c>
      <c r="I120" s="13"/>
      <c r="J120" s="14"/>
      <c r="M120" t="str">
        <f>IF(UPPER(TRIM(H120))="OK",COUNT($M$2:M119)+1,"")</f>
        <v/>
      </c>
    </row>
    <row r="121" spans="1:13" ht="15" customHeight="1" x14ac:dyDescent="0.3">
      <c r="A121" s="12" t="str">
        <f t="shared" si="5"/>
        <v/>
      </c>
      <c r="B121" s="28" t="str">
        <f>IFERROR(_xlfn.XLOOKUP(C121,'Registro Visitas'!$A$3:$A$62,'Registro Visitas'!$B$3:$B$62),"")</f>
        <v/>
      </c>
      <c r="C121" s="9"/>
      <c r="D121" s="14"/>
      <c r="E121" s="14"/>
      <c r="F121" s="8"/>
      <c r="G121" s="9"/>
      <c r="H121" s="9" t="str">
        <f t="shared" si="4"/>
        <v/>
      </c>
      <c r="I121" s="13"/>
      <c r="J121" s="14"/>
      <c r="M121" t="str">
        <f>IF(UPPER(TRIM(H121))="OK",COUNT($M$2:M120)+1,"")</f>
        <v/>
      </c>
    </row>
    <row r="122" spans="1:13" ht="15" customHeight="1" x14ac:dyDescent="0.3">
      <c r="A122" s="12" t="str">
        <f t="shared" si="5"/>
        <v/>
      </c>
      <c r="B122" s="28" t="str">
        <f>IFERROR(_xlfn.XLOOKUP(C122,'Registro Visitas'!$A$3:$A$62,'Registro Visitas'!$B$3:$B$62),"")</f>
        <v/>
      </c>
      <c r="C122" s="9"/>
      <c r="D122" s="14"/>
      <c r="E122" s="14"/>
      <c r="F122" s="8"/>
      <c r="G122" s="9"/>
      <c r="H122" s="9" t="str">
        <f t="shared" si="4"/>
        <v/>
      </c>
      <c r="I122" s="13"/>
      <c r="J122" s="14"/>
      <c r="M122" t="str">
        <f>IF(UPPER(TRIM(H122))="OK",COUNT($M$2:M121)+1,"")</f>
        <v/>
      </c>
    </row>
    <row r="123" spans="1:13" ht="15" customHeight="1" x14ac:dyDescent="0.3">
      <c r="A123" s="12" t="str">
        <f t="shared" si="5"/>
        <v/>
      </c>
      <c r="B123" s="28" t="str">
        <f>IFERROR(_xlfn.XLOOKUP(C123,'Registro Visitas'!$A$3:$A$62,'Registro Visitas'!$B$3:$B$62),"")</f>
        <v/>
      </c>
      <c r="C123" s="9"/>
      <c r="D123" s="14"/>
      <c r="E123" s="14"/>
      <c r="F123" s="8"/>
      <c r="G123" s="9"/>
      <c r="H123" s="9" t="str">
        <f t="shared" si="4"/>
        <v/>
      </c>
      <c r="I123" s="13"/>
      <c r="J123" s="14"/>
      <c r="M123" t="str">
        <f>IF(UPPER(TRIM(H123))="OK",COUNT($M$2:M122)+1,"")</f>
        <v/>
      </c>
    </row>
    <row r="124" spans="1:13" ht="15" customHeight="1" x14ac:dyDescent="0.3">
      <c r="A124" s="12" t="str">
        <f t="shared" si="5"/>
        <v/>
      </c>
      <c r="B124" s="28" t="str">
        <f>IFERROR(_xlfn.XLOOKUP(C124,'Registro Visitas'!$A$3:$A$62,'Registro Visitas'!$B$3:$B$62),"")</f>
        <v/>
      </c>
      <c r="C124" s="9"/>
      <c r="D124" s="14"/>
      <c r="E124" s="14"/>
      <c r="F124" s="8"/>
      <c r="G124" s="9"/>
      <c r="H124" s="9" t="str">
        <f t="shared" si="4"/>
        <v/>
      </c>
      <c r="I124" s="13"/>
      <c r="J124" s="14"/>
      <c r="M124" t="str">
        <f>IF(UPPER(TRIM(H124))="OK",COUNT($M$2:M123)+1,"")</f>
        <v/>
      </c>
    </row>
    <row r="125" spans="1:13" ht="15" customHeight="1" x14ac:dyDescent="0.3">
      <c r="A125" s="12" t="str">
        <f t="shared" si="5"/>
        <v/>
      </c>
      <c r="B125" s="28" t="str">
        <f>IFERROR(_xlfn.XLOOKUP(C125,'Registro Visitas'!$A$3:$A$62,'Registro Visitas'!$B$3:$B$62),"")</f>
        <v/>
      </c>
      <c r="C125" s="9"/>
      <c r="D125" s="14"/>
      <c r="E125" s="14"/>
      <c r="F125" s="8"/>
      <c r="G125" s="9"/>
      <c r="H125" s="9" t="str">
        <f t="shared" si="4"/>
        <v/>
      </c>
      <c r="I125" s="13"/>
      <c r="J125" s="14"/>
      <c r="M125" t="str">
        <f>IF(UPPER(TRIM(H125))="OK",COUNT($M$2:M124)+1,"")</f>
        <v/>
      </c>
    </row>
    <row r="126" spans="1:13" ht="15" customHeight="1" x14ac:dyDescent="0.3">
      <c r="A126" s="12" t="str">
        <f t="shared" si="5"/>
        <v/>
      </c>
      <c r="B126" s="28" t="str">
        <f>IFERROR(_xlfn.XLOOKUP(C126,'Registro Visitas'!$A$3:$A$62,'Registro Visitas'!$B$3:$B$62),"")</f>
        <v/>
      </c>
      <c r="C126" s="9"/>
      <c r="D126" s="14"/>
      <c r="E126" s="14"/>
      <c r="F126" s="8"/>
      <c r="G126" s="9"/>
      <c r="H126" s="9" t="str">
        <f t="shared" si="4"/>
        <v/>
      </c>
      <c r="I126" s="13"/>
      <c r="J126" s="14"/>
      <c r="M126" t="str">
        <f>IF(UPPER(TRIM(H126))="OK",COUNT($M$2:M125)+1,"")</f>
        <v/>
      </c>
    </row>
    <row r="127" spans="1:13" ht="15" customHeight="1" x14ac:dyDescent="0.3">
      <c r="A127" s="12" t="str">
        <f t="shared" si="5"/>
        <v/>
      </c>
      <c r="B127" s="28" t="str">
        <f>IFERROR(_xlfn.XLOOKUP(C127,'Registro Visitas'!$A$3:$A$62,'Registro Visitas'!$B$3:$B$62),"")</f>
        <v/>
      </c>
      <c r="C127" s="9"/>
      <c r="D127" s="14"/>
      <c r="E127" s="14"/>
      <c r="F127" s="8"/>
      <c r="G127" s="9"/>
      <c r="H127" s="9" t="str">
        <f t="shared" si="4"/>
        <v/>
      </c>
      <c r="I127" s="13"/>
      <c r="J127" s="14"/>
      <c r="M127" t="str">
        <f>IF(UPPER(TRIM(H127))="OK",COUNT($M$2:M126)+1,"")</f>
        <v/>
      </c>
    </row>
    <row r="128" spans="1:13" ht="15" customHeight="1" x14ac:dyDescent="0.3">
      <c r="A128" s="12" t="str">
        <f t="shared" si="5"/>
        <v/>
      </c>
      <c r="B128" s="28" t="str">
        <f>IFERROR(_xlfn.XLOOKUP(C128,'Registro Visitas'!$A$3:$A$62,'Registro Visitas'!$B$3:$B$62),"")</f>
        <v/>
      </c>
      <c r="C128" s="9"/>
      <c r="D128" s="14"/>
      <c r="E128" s="14"/>
      <c r="F128" s="8"/>
      <c r="G128" s="9"/>
      <c r="H128" s="9" t="str">
        <f t="shared" si="4"/>
        <v/>
      </c>
      <c r="I128" s="13"/>
      <c r="J128" s="14"/>
      <c r="M128" t="str">
        <f>IF(UPPER(TRIM(H128))="OK",COUNT($M$2:M127)+1,"")</f>
        <v/>
      </c>
    </row>
    <row r="129" spans="1:13" ht="15" customHeight="1" x14ac:dyDescent="0.3">
      <c r="A129" s="12" t="str">
        <f t="shared" si="5"/>
        <v/>
      </c>
      <c r="B129" s="28" t="str">
        <f>IFERROR(_xlfn.XLOOKUP(C129,'Registro Visitas'!$A$3:$A$62,'Registro Visitas'!$B$3:$B$62),"")</f>
        <v/>
      </c>
      <c r="C129" s="9"/>
      <c r="D129" s="14"/>
      <c r="E129" s="14"/>
      <c r="F129" s="8"/>
      <c r="G129" s="9"/>
      <c r="H129" s="9" t="str">
        <f t="shared" si="4"/>
        <v/>
      </c>
      <c r="I129" s="13"/>
      <c r="J129" s="14"/>
      <c r="M129" t="str">
        <f>IF(UPPER(TRIM(H129))="OK",COUNT($M$2:M128)+1,"")</f>
        <v/>
      </c>
    </row>
    <row r="130" spans="1:13" ht="15" customHeight="1" x14ac:dyDescent="0.3">
      <c r="A130" s="12" t="str">
        <f t="shared" si="5"/>
        <v/>
      </c>
      <c r="B130" s="28" t="str">
        <f>IFERROR(_xlfn.XLOOKUP(C130,'Registro Visitas'!$A$3:$A$62,'Registro Visitas'!$B$3:$B$62),"")</f>
        <v/>
      </c>
      <c r="C130" s="9"/>
      <c r="D130" s="14"/>
      <c r="E130" s="14"/>
      <c r="F130" s="8"/>
      <c r="G130" s="9"/>
      <c r="H130" s="9" t="str">
        <f t="shared" si="4"/>
        <v/>
      </c>
      <c r="I130" s="13"/>
      <c r="J130" s="14"/>
      <c r="M130" t="str">
        <f>IF(UPPER(TRIM(H130))="OK",COUNT($M$2:M129)+1,"")</f>
        <v/>
      </c>
    </row>
    <row r="131" spans="1:13" ht="15" customHeight="1" x14ac:dyDescent="0.3">
      <c r="A131" s="12" t="str">
        <f t="shared" ref="A131:A162" si="6">IF(B131="","","INFO-"&amp;TEXT(ROW()-2,"000"))</f>
        <v/>
      </c>
      <c r="B131" s="28" t="str">
        <f>IFERROR(_xlfn.XLOOKUP(C131,'Registro Visitas'!$A$3:$A$62,'Registro Visitas'!$B$3:$B$62),"")</f>
        <v/>
      </c>
      <c r="C131" s="9"/>
      <c r="D131" s="14"/>
      <c r="E131" s="14"/>
      <c r="F131" s="8"/>
      <c r="G131" s="9"/>
      <c r="H131" s="9" t="str">
        <f t="shared" si="4"/>
        <v/>
      </c>
      <c r="I131" s="13"/>
      <c r="J131" s="14"/>
      <c r="M131" t="str">
        <f>IF(UPPER(TRIM(H131))="OK",COUNT($M$2:M130)+1,"")</f>
        <v/>
      </c>
    </row>
    <row r="132" spans="1:13" ht="15" customHeight="1" x14ac:dyDescent="0.3">
      <c r="A132" s="12" t="str">
        <f t="shared" si="6"/>
        <v/>
      </c>
      <c r="B132" s="28" t="str">
        <f>IFERROR(_xlfn.XLOOKUP(C132,'Registro Visitas'!$A$3:$A$62,'Registro Visitas'!$B$3:$B$62),"")</f>
        <v/>
      </c>
      <c r="C132" s="9"/>
      <c r="D132" s="14"/>
      <c r="E132" s="14"/>
      <c r="F132" s="8"/>
      <c r="G132" s="9"/>
      <c r="H132" s="9" t="str">
        <f t="shared" si="4"/>
        <v/>
      </c>
      <c r="I132" s="13"/>
      <c r="J132" s="14"/>
      <c r="M132" t="str">
        <f>IF(UPPER(TRIM(H132))="OK",COUNT($M$2:M131)+1,"")</f>
        <v/>
      </c>
    </row>
    <row r="133" spans="1:13" ht="15" customHeight="1" x14ac:dyDescent="0.3">
      <c r="A133" s="12" t="str">
        <f t="shared" si="6"/>
        <v/>
      </c>
      <c r="B133" s="28" t="str">
        <f>IFERROR(_xlfn.XLOOKUP(C133,'Registro Visitas'!$A$3:$A$62,'Registro Visitas'!$B$3:$B$62),"")</f>
        <v/>
      </c>
      <c r="C133" s="9"/>
      <c r="D133" s="14"/>
      <c r="E133" s="14"/>
      <c r="F133" s="8"/>
      <c r="G133" s="9"/>
      <c r="H133" s="9" t="str">
        <f t="shared" si="4"/>
        <v/>
      </c>
      <c r="I133" s="13"/>
      <c r="J133" s="14"/>
      <c r="M133" t="str">
        <f>IF(UPPER(TRIM(H133))="OK",COUNT($M$2:M132)+1,"")</f>
        <v/>
      </c>
    </row>
    <row r="134" spans="1:13" ht="15" customHeight="1" x14ac:dyDescent="0.3">
      <c r="A134" s="12" t="str">
        <f t="shared" si="6"/>
        <v/>
      </c>
      <c r="B134" s="28" t="str">
        <f>IFERROR(_xlfn.XLOOKUP(C134,'Registro Visitas'!$A$3:$A$62,'Registro Visitas'!$B$3:$B$62),"")</f>
        <v/>
      </c>
      <c r="C134" s="9"/>
      <c r="D134" s="14"/>
      <c r="E134" s="14"/>
      <c r="F134" s="8"/>
      <c r="G134" s="9"/>
      <c r="H134" s="9" t="str">
        <f t="shared" si="4"/>
        <v/>
      </c>
      <c r="I134" s="13"/>
      <c r="J134" s="14"/>
      <c r="M134" t="str">
        <f>IF(UPPER(TRIM(H134))="OK",COUNT($M$2:M133)+1,"")</f>
        <v/>
      </c>
    </row>
    <row r="135" spans="1:13" ht="15" customHeight="1" x14ac:dyDescent="0.3">
      <c r="A135" s="12" t="str">
        <f t="shared" si="6"/>
        <v/>
      </c>
      <c r="B135" s="28" t="str">
        <f>IFERROR(_xlfn.XLOOKUP(C135,'Registro Visitas'!$A$3:$A$62,'Registro Visitas'!$B$3:$B$62),"")</f>
        <v/>
      </c>
      <c r="C135" s="9"/>
      <c r="D135" s="14"/>
      <c r="E135" s="14"/>
      <c r="F135" s="8"/>
      <c r="G135" s="9"/>
      <c r="H135" s="9" t="str">
        <f t="shared" si="4"/>
        <v/>
      </c>
      <c r="I135" s="13"/>
      <c r="J135" s="14"/>
      <c r="M135" t="str">
        <f>IF(UPPER(TRIM(H135))="OK",COUNT($M$2:M134)+1,"")</f>
        <v/>
      </c>
    </row>
    <row r="136" spans="1:13" ht="15" customHeight="1" x14ac:dyDescent="0.3">
      <c r="A136" s="12" t="str">
        <f t="shared" si="6"/>
        <v/>
      </c>
      <c r="B136" s="28" t="str">
        <f>IFERROR(_xlfn.XLOOKUP(C136,'Registro Visitas'!$A$3:$A$62,'Registro Visitas'!$B$3:$B$62),"")</f>
        <v/>
      </c>
      <c r="C136" s="9"/>
      <c r="D136" s="14"/>
      <c r="E136" s="14"/>
      <c r="F136" s="8"/>
      <c r="G136" s="9"/>
      <c r="H136" s="9" t="str">
        <f t="shared" si="4"/>
        <v/>
      </c>
      <c r="I136" s="13"/>
      <c r="J136" s="14"/>
      <c r="M136" t="str">
        <f>IF(UPPER(TRIM(H136))="OK",COUNT($M$2:M135)+1,"")</f>
        <v/>
      </c>
    </row>
    <row r="137" spans="1:13" ht="15" customHeight="1" x14ac:dyDescent="0.3">
      <c r="A137" s="12" t="str">
        <f t="shared" si="6"/>
        <v/>
      </c>
      <c r="B137" s="28" t="str">
        <f>IFERROR(_xlfn.XLOOKUP(C137,'Registro Visitas'!$A$3:$A$62,'Registro Visitas'!$B$3:$B$62),"")</f>
        <v/>
      </c>
      <c r="C137" s="9"/>
      <c r="D137" s="14"/>
      <c r="E137" s="14"/>
      <c r="F137" s="8"/>
      <c r="G137" s="9"/>
      <c r="H137" s="9" t="str">
        <f t="shared" si="4"/>
        <v/>
      </c>
      <c r="I137" s="13"/>
      <c r="J137" s="14"/>
      <c r="M137" t="str">
        <f>IF(UPPER(TRIM(H137))="OK",COUNT($M$2:M136)+1,"")</f>
        <v/>
      </c>
    </row>
    <row r="138" spans="1:13" ht="15" customHeight="1" x14ac:dyDescent="0.3">
      <c r="A138" s="12" t="str">
        <f t="shared" si="6"/>
        <v/>
      </c>
      <c r="B138" s="28" t="str">
        <f>IFERROR(_xlfn.XLOOKUP(C138,'Registro Visitas'!$A$3:$A$62,'Registro Visitas'!$B$3:$B$62),"")</f>
        <v/>
      </c>
      <c r="C138" s="9"/>
      <c r="D138" s="14"/>
      <c r="E138" s="14"/>
      <c r="F138" s="8"/>
      <c r="G138" s="9"/>
      <c r="H138" s="9" t="str">
        <f t="shared" si="4"/>
        <v/>
      </c>
      <c r="I138" s="13"/>
      <c r="J138" s="14"/>
      <c r="M138" t="str">
        <f>IF(UPPER(TRIM(H138))="OK",COUNT($M$2:M137)+1,"")</f>
        <v/>
      </c>
    </row>
    <row r="139" spans="1:13" ht="15" customHeight="1" x14ac:dyDescent="0.3">
      <c r="A139" s="12" t="str">
        <f t="shared" si="6"/>
        <v/>
      </c>
      <c r="B139" s="28" t="str">
        <f>IFERROR(_xlfn.XLOOKUP(C139,'Registro Visitas'!$A$3:$A$62,'Registro Visitas'!$B$3:$B$62),"")</f>
        <v/>
      </c>
      <c r="C139" s="9"/>
      <c r="D139" s="14"/>
      <c r="E139" s="14"/>
      <c r="F139" s="8"/>
      <c r="G139" s="9"/>
      <c r="H139" s="9" t="str">
        <f t="shared" si="4"/>
        <v/>
      </c>
      <c r="I139" s="13"/>
      <c r="J139" s="14"/>
      <c r="M139" t="str">
        <f>IF(UPPER(TRIM(H139))="OK",COUNT($M$2:M138)+1,"")</f>
        <v/>
      </c>
    </row>
    <row r="140" spans="1:13" ht="15" customHeight="1" x14ac:dyDescent="0.3">
      <c r="A140" s="12" t="str">
        <f t="shared" si="6"/>
        <v/>
      </c>
      <c r="B140" s="28" t="str">
        <f>IFERROR(_xlfn.XLOOKUP(C140,'Registro Visitas'!$A$3:$A$62,'Registro Visitas'!$B$3:$B$62),"")</f>
        <v/>
      </c>
      <c r="C140" s="9"/>
      <c r="D140" s="14"/>
      <c r="E140" s="14"/>
      <c r="F140" s="8"/>
      <c r="G140" s="9"/>
      <c r="H140" s="9" t="str">
        <f t="shared" si="4"/>
        <v/>
      </c>
      <c r="I140" s="13"/>
      <c r="J140" s="14"/>
      <c r="M140" t="str">
        <f>IF(UPPER(TRIM(H140))="OK",COUNT($M$2:M139)+1,"")</f>
        <v/>
      </c>
    </row>
    <row r="141" spans="1:13" ht="15" customHeight="1" x14ac:dyDescent="0.3">
      <c r="A141" s="12" t="str">
        <f t="shared" si="6"/>
        <v/>
      </c>
      <c r="B141" s="28" t="str">
        <f>IFERROR(_xlfn.XLOOKUP(C141,'Registro Visitas'!$A$3:$A$62,'Registro Visitas'!$B$3:$B$62),"")</f>
        <v/>
      </c>
      <c r="C141" s="9"/>
      <c r="D141" s="14"/>
      <c r="E141" s="14"/>
      <c r="F141" s="8"/>
      <c r="G141" s="9"/>
      <c r="H141" s="9" t="str">
        <f t="shared" si="4"/>
        <v/>
      </c>
      <c r="I141" s="13"/>
      <c r="J141" s="14"/>
      <c r="M141" t="str">
        <f>IF(UPPER(TRIM(H141))="OK",COUNT($M$2:M140)+1,"")</f>
        <v/>
      </c>
    </row>
    <row r="142" spans="1:13" ht="15" customHeight="1" x14ac:dyDescent="0.3">
      <c r="A142" s="12" t="str">
        <f t="shared" si="6"/>
        <v/>
      </c>
      <c r="B142" s="28" t="str">
        <f>IFERROR(_xlfn.XLOOKUP(C142,'Registro Visitas'!$A$3:$A$62,'Registro Visitas'!$B$3:$B$62),"")</f>
        <v/>
      </c>
      <c r="C142" s="9"/>
      <c r="D142" s="14"/>
      <c r="E142" s="14"/>
      <c r="F142" s="8"/>
      <c r="G142" s="9"/>
      <c r="H142" s="9" t="str">
        <f t="shared" si="4"/>
        <v/>
      </c>
      <c r="I142" s="13"/>
      <c r="J142" s="14"/>
      <c r="M142" t="str">
        <f>IF(UPPER(TRIM(H142))="OK",COUNT($M$2:M141)+1,"")</f>
        <v/>
      </c>
    </row>
    <row r="143" spans="1:13" ht="15" customHeight="1" x14ac:dyDescent="0.3">
      <c r="A143" s="12" t="str">
        <f t="shared" si="6"/>
        <v/>
      </c>
      <c r="B143" s="28" t="str">
        <f>IFERROR(_xlfn.XLOOKUP(C143,'Registro Visitas'!$A$3:$A$62,'Registro Visitas'!$B$3:$B$62),"")</f>
        <v/>
      </c>
      <c r="C143" s="9"/>
      <c r="D143" s="14"/>
      <c r="E143" s="14"/>
      <c r="F143" s="8"/>
      <c r="G143" s="9"/>
      <c r="H143" s="9" t="str">
        <f t="shared" si="4"/>
        <v/>
      </c>
      <c r="I143" s="13"/>
      <c r="J143" s="14"/>
      <c r="M143" t="str">
        <f>IF(UPPER(TRIM(H143))="OK",COUNT($M$2:M142)+1,"")</f>
        <v/>
      </c>
    </row>
    <row r="144" spans="1:13" ht="15" customHeight="1" x14ac:dyDescent="0.3">
      <c r="A144" s="12" t="str">
        <f t="shared" si="6"/>
        <v/>
      </c>
      <c r="B144" s="28" t="str">
        <f>IFERROR(_xlfn.XLOOKUP(C144,'Registro Visitas'!$A$3:$A$62,'Registro Visitas'!$B$3:$B$62),"")</f>
        <v/>
      </c>
      <c r="C144" s="9"/>
      <c r="D144" s="14"/>
      <c r="E144" s="14"/>
      <c r="F144" s="8"/>
      <c r="G144" s="9"/>
      <c r="H144" s="9" t="str">
        <f t="shared" si="4"/>
        <v/>
      </c>
      <c r="I144" s="13"/>
      <c r="J144" s="14"/>
      <c r="M144" t="str">
        <f>IF(UPPER(TRIM(H144))="OK",COUNT($M$2:M143)+1,"")</f>
        <v/>
      </c>
    </row>
    <row r="145" spans="1:13" ht="15" customHeight="1" x14ac:dyDescent="0.3">
      <c r="A145" s="12" t="str">
        <f t="shared" si="6"/>
        <v/>
      </c>
      <c r="B145" s="28" t="str">
        <f>IFERROR(_xlfn.XLOOKUP(C145,'Registro Visitas'!$A$3:$A$62,'Registro Visitas'!$B$3:$B$62),"")</f>
        <v/>
      </c>
      <c r="C145" s="9"/>
      <c r="D145" s="14"/>
      <c r="E145" s="14"/>
      <c r="F145" s="8"/>
      <c r="G145" s="9"/>
      <c r="H145" s="9" t="str">
        <f t="shared" ref="H145:H148" si="7">IF(E145="","","P")</f>
        <v/>
      </c>
      <c r="I145" s="13"/>
      <c r="J145" s="14"/>
      <c r="M145" t="str">
        <f>IF(UPPER(TRIM(H145))="OK",COUNT($M$2:M144)+1,"")</f>
        <v/>
      </c>
    </row>
    <row r="146" spans="1:13" ht="15" customHeight="1" x14ac:dyDescent="0.3">
      <c r="A146" s="12" t="str">
        <f t="shared" si="6"/>
        <v/>
      </c>
      <c r="B146" s="28" t="str">
        <f>IFERROR(_xlfn.XLOOKUP(C146,'Registro Visitas'!$A$3:$A$62,'Registro Visitas'!$B$3:$B$62),"")</f>
        <v/>
      </c>
      <c r="C146" s="9"/>
      <c r="D146" s="14"/>
      <c r="E146" s="14"/>
      <c r="F146" s="8"/>
      <c r="G146" s="9"/>
      <c r="H146" s="9" t="str">
        <f t="shared" si="7"/>
        <v/>
      </c>
      <c r="I146" s="13"/>
      <c r="J146" s="14"/>
      <c r="M146" t="str">
        <f>IF(UPPER(TRIM(H146))="OK",COUNT($M$2:M145)+1,"")</f>
        <v/>
      </c>
    </row>
    <row r="147" spans="1:13" ht="15" customHeight="1" x14ac:dyDescent="0.3">
      <c r="A147" s="12" t="str">
        <f t="shared" si="6"/>
        <v/>
      </c>
      <c r="B147" s="28" t="str">
        <f>IFERROR(_xlfn.XLOOKUP(C147,'Registro Visitas'!$A$3:$A$62,'Registro Visitas'!$B$3:$B$62),"")</f>
        <v/>
      </c>
      <c r="C147" s="9"/>
      <c r="D147" s="14"/>
      <c r="E147" s="14"/>
      <c r="F147" s="8"/>
      <c r="G147" s="9"/>
      <c r="H147" s="9" t="str">
        <f t="shared" si="7"/>
        <v/>
      </c>
      <c r="I147" s="13"/>
      <c r="J147" s="14"/>
      <c r="M147" t="str">
        <f>IF(UPPER(TRIM(H147))="OK",COUNT($M$2:M146)+1,"")</f>
        <v/>
      </c>
    </row>
    <row r="148" spans="1:13" ht="15" customHeight="1" x14ac:dyDescent="0.3">
      <c r="C148" s="10">
        <v>0</v>
      </c>
      <c r="H148" s="9" t="str">
        <f t="shared" si="7"/>
        <v/>
      </c>
    </row>
  </sheetData>
  <autoFilter ref="A2:J147" xr:uid="{00000000-0009-0000-0000-000002000000}"/>
  <conditionalFormatting sqref="F3:F147">
    <cfRule type="expression" dxfId="3" priority="6">
      <formula>$F3="Crítica"</formula>
    </cfRule>
  </conditionalFormatting>
  <conditionalFormatting sqref="H3:H148">
    <cfRule type="expression" dxfId="2" priority="7">
      <formula>$H3="R"</formula>
    </cfRule>
    <cfRule type="expression" dxfId="1" priority="8">
      <formula>$H3="P"</formula>
    </cfRule>
    <cfRule type="expression" dxfId="0" priority="9">
      <formula>$H3="i"</formula>
    </cfRule>
  </conditionalFormatting>
  <dataValidations count="3">
    <dataValidation type="list" allowBlank="1" sqref="D3:D147" xr:uid="{00000000-0002-0000-0200-000000000000}">
      <formula1>"TP,BUS_A,BUS_B,CLIMA_A,CLIMA_B,T_G2,General/Varios"</formula1>
      <formula2>0</formula2>
    </dataValidation>
    <dataValidation type="list" allowBlank="1" sqref="F3:F147" xr:uid="{00000000-0002-0000-0200-000002000000}">
      <formula1>"Consulta,Información,Sugerencia"</formula1>
    </dataValidation>
    <dataValidation type="list" allowBlank="1" errorTitle="Estado inválido" error="Use solo P, OK o i" sqref="H3:H148" xr:uid="{00000000-0002-0000-0200-000003000000}">
      <formula1>"R,P,i"</formula1>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C4CE6430-99D5-4A7F-AFA7-EC943225F4A9}">
          <x14:formula1>
            <xm:f>'Registro Visitas'!$A$3:$A$62</xm:f>
          </x14:formula1>
          <xm:sqref>C3:C147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4"/>
  <sheetViews>
    <sheetView showGridLines="0" zoomScaleNormal="100" workbookViewId="0">
      <selection activeCell="E6" sqref="E6"/>
    </sheetView>
  </sheetViews>
  <sheetFormatPr baseColWidth="10" defaultColWidth="8.6640625" defaultRowHeight="14.4" x14ac:dyDescent="0.3"/>
  <cols>
    <col min="1" max="1" width="18.6640625" bestFit="1" customWidth="1"/>
    <col min="2" max="2" width="14.33203125" customWidth="1"/>
    <col min="3" max="3" width="14.88671875" customWidth="1"/>
    <col min="4" max="4" width="13.109375" bestFit="1" customWidth="1"/>
    <col min="5" max="5" width="49.109375" customWidth="1"/>
    <col min="6" max="6" width="11.88671875" style="5" bestFit="1" customWidth="1"/>
    <col min="7" max="7" width="12.109375" bestFit="1" customWidth="1"/>
    <col min="8" max="8" width="47.33203125" customWidth="1"/>
  </cols>
  <sheetData>
    <row r="1" spans="1:8" ht="19.2" x14ac:dyDescent="0.35">
      <c r="A1" s="42" t="s">
        <v>84</v>
      </c>
      <c r="B1" s="42"/>
      <c r="C1" s="42"/>
      <c r="D1" s="42"/>
      <c r="E1" s="42"/>
    </row>
    <row r="2" spans="1:8" ht="26.4" x14ac:dyDescent="0.3">
      <c r="A2" s="1" t="s">
        <v>10</v>
      </c>
      <c r="B2" s="1" t="s">
        <v>1</v>
      </c>
      <c r="C2" s="1" t="s">
        <v>11</v>
      </c>
      <c r="D2" s="1" t="s">
        <v>13</v>
      </c>
      <c r="E2" s="1" t="s">
        <v>85</v>
      </c>
      <c r="F2" s="1" t="s">
        <v>15</v>
      </c>
      <c r="G2" s="1" t="s">
        <v>18</v>
      </c>
      <c r="H2" s="1" t="s">
        <v>86</v>
      </c>
    </row>
    <row r="3" spans="1:8" s="10" customFormat="1" ht="26.4" x14ac:dyDescent="0.3">
      <c r="A3" s="30" t="str">
        <f>IFERROR(IF(INDEX(Observaciones!A$3:A$147,MATCH(ROWS($A$3:A3),Observaciones!$N$3:$N$147,0))="","",INDEX(Observaciones!A$3:A$147,MATCH(ROWS($A$3:A3),Observaciones!$N$3:$N$147,0))),"")</f>
        <v>OBS-001</v>
      </c>
      <c r="B3" s="31" t="str">
        <f>IFERROR(IF(INDEX(Observaciones!C$3:C$147,MATCH(ROWS($A$3:A3),Observaciones!$N$3:$N$147,0))="","",INDEX(Observaciones!C$3:C$147,MATCH(ROWS($A$3:A3),Observaciones!$N$3:$N$147,0))),"")</f>
        <v>20260722-001</v>
      </c>
      <c r="C3" s="32">
        <f>IFERROR(IF(INDEX(Observaciones!B$3:B$147,MATCH(ROWS($A$3:A3),Observaciones!$N$3:$N$147,0))="","",INDEX(Observaciones!B$3:B$147,MATCH(ROWS($A$3:A3),Observaciones!$N$3:$N$147,0))),"")</f>
        <v>46225</v>
      </c>
      <c r="D3" s="30" t="str">
        <f>IFERROR(IF(INDEX(Observaciones!D$3:D$147,MATCH(ROWS($A$3:A3),Observaciones!$N$3:$N$147,0))="","",INDEX(Observaciones!D$3:D$147,MATCH(ROWS($A$3:A3),Observaciones!$N$3:$N$147,0))),"")</f>
        <v>General/Varios</v>
      </c>
      <c r="E3" s="33" t="str">
        <f>IFERROR(IF(INDEX(Observaciones!E$3:E$147,MATCH(ROWS($A$3:A3),Observaciones!$N$3:$N$147,0))="","",INDEX(Observaciones!E$3:E$147,MATCH(ROWS($A$3:A3),Observaciones!$N$3:$N$147,0))),"")</f>
        <v>Puertas interiores de los tableros estan desaplomadas, verificar cuando se torqueen los frame</v>
      </c>
      <c r="F3" s="30" t="str">
        <f>IFERROR(IF(INDEX(Observaciones!F$3:F$147,MATCH(ROWS($A$3:A3),Observaciones!$N$3:$N$147,0))="","",INDEX(Observaciones!F$3:F$147,MATCH(ROWS($A$3:A3),Observaciones!$N$3:$N$147,0))),"")</f>
        <v>Obs. Menor</v>
      </c>
      <c r="G3" s="32">
        <f>IFERROR(IF(INDEX(Observaciones!I$3:I$147,MATCH(ROWS($A$3:A3),Observaciones!$N$3:$N$147,0))="","",INDEX(Observaciones!I$3:I$147,MATCH(ROWS($A$3:A3),Observaciones!$N$3:$N$147,0))),"")</f>
        <v>46230</v>
      </c>
      <c r="H3" s="33" t="str">
        <f>IFERROR(IF(INDEX(Observaciones!J$3:J$147,MATCH(ROWS($A$3:A3),Observaciones!$N$3:$N$147,0))="","",INDEX(Observaciones!J$3:J$147,MATCH(ROWS($A$3:A3),Observaciones!$N$3:$N$147,0))),"")</f>
        <v>Se mejoró el aplomo al apretar/torquear modulos.</v>
      </c>
    </row>
    <row r="4" spans="1:8" s="10" customFormat="1" ht="26.4" x14ac:dyDescent="0.3">
      <c r="A4" s="30" t="str">
        <f>IFERROR(IF(INDEX(Observaciones!A$3:A$147,MATCH(ROWS($A$3:A4),Observaciones!$N$3:$N$147,0))="","",INDEX(Observaciones!A$3:A$147,MATCH(ROWS($A$3:A4),Observaciones!$N$3:$N$147,0))),"")</f>
        <v>OBS-002</v>
      </c>
      <c r="B4" s="31" t="str">
        <f>IFERROR(IF(INDEX(Observaciones!C$3:C$147,MATCH(ROWS($A$3:A4),Observaciones!$N$3:$N$147,0))="","",INDEX(Observaciones!C$3:C$147,MATCH(ROWS($A$3:A4),Observaciones!$N$3:$N$147,0))),"")</f>
        <v>20260722-001</v>
      </c>
      <c r="C4" s="32">
        <f>IFERROR(IF(INDEX(Observaciones!B$3:B$147,MATCH(ROWS($A$3:A4),Observaciones!$N$3:$N$147,0))="","",INDEX(Observaciones!B$3:B$147,MATCH(ROWS($A$3:A4),Observaciones!$N$3:$N$147,0))),"")</f>
        <v>46225</v>
      </c>
      <c r="D4" s="30" t="str">
        <f>IFERROR(IF(INDEX(Observaciones!D$3:D$147,MATCH(ROWS($A$3:A4),Observaciones!$N$3:$N$147,0))="","",INDEX(Observaciones!D$3:D$147,MATCH(ROWS($A$3:A4),Observaciones!$N$3:$N$147,0))),"")</f>
        <v>General/Varios</v>
      </c>
      <c r="E4" s="33" t="str">
        <f>IFERROR(IF(INDEX(Observaciones!E$3:E$147,MATCH(ROWS($A$3:A4),Observaciones!$N$3:$N$147,0))="","",INDEX(Observaciones!E$3:E$147,MATCH(ROWS($A$3:A4),Observaciones!$N$3:$N$147,0))),"")</f>
        <v>Las marquillas de cables actualmente identifican el con nombre de cto; deberían identificar el tag del componente.</v>
      </c>
      <c r="F4" s="30" t="str">
        <f>IFERROR(IF(INDEX(Observaciones!F$3:F$147,MATCH(ROWS($A$3:A4),Observaciones!$N$3:$N$147,0))="","",INDEX(Observaciones!F$3:F$147,MATCH(ROWS($A$3:A4),Observaciones!$N$3:$N$147,0))),"")</f>
        <v>Obs. Menor</v>
      </c>
      <c r="G4" s="32">
        <f>IFERROR(IF(INDEX(Observaciones!I$3:I$147,MATCH(ROWS($A$3:A4),Observaciones!$N$3:$N$147,0))="","",INDEX(Observaciones!I$3:I$147,MATCH(ROWS($A$3:A4),Observaciones!$N$3:$N$147,0))),"")</f>
        <v>46233</v>
      </c>
      <c r="H4" s="33" t="str">
        <f>IFERROR(IF(INDEX(Observaciones!J$3:J$147,MATCH(ROWS($A$3:A4),Observaciones!$N$3:$N$147,0))="","",INDEX(Observaciones!J$3:J$147,MATCH(ROWS($A$3:A4),Observaciones!$N$3:$N$147,0))),"")</f>
        <v>Se solicito a CMF usar TAG de componente</v>
      </c>
    </row>
    <row r="5" spans="1:8" s="10" customFormat="1" ht="28.95" customHeight="1" x14ac:dyDescent="0.3">
      <c r="A5" s="30" t="str">
        <f>IFERROR(IF(INDEX(Observaciones!A$3:A$147,MATCH(ROWS($A$3:A5),Observaciones!$N$3:$N$147,0))="","",INDEX(Observaciones!A$3:A$147,MATCH(ROWS($A$3:A5),Observaciones!$N$3:$N$147,0))),"")</f>
        <v/>
      </c>
      <c r="B5" s="31" t="str">
        <f>IFERROR(IF(INDEX(Observaciones!C$3:C$147,MATCH(ROWS($A$3:A5),Observaciones!$N$3:$N$147,0))="","",INDEX(Observaciones!C$3:C$147,MATCH(ROWS($A$3:A5),Observaciones!$N$3:$N$147,0))),"")</f>
        <v/>
      </c>
      <c r="C5" s="32" t="str">
        <f>IFERROR(IF(INDEX(Observaciones!B$3:B$147,MATCH(ROWS($A$3:A5),Observaciones!$N$3:$N$147,0))="","",INDEX(Observaciones!B$3:B$147,MATCH(ROWS($A$3:A5),Observaciones!$N$3:$N$147,0))),"")</f>
        <v/>
      </c>
      <c r="D5" s="30" t="str">
        <f>IFERROR(IF(INDEX(Observaciones!D$3:D$147,MATCH(ROWS($A$3:A5),Observaciones!$N$3:$N$147,0))="","",INDEX(Observaciones!D$3:D$147,MATCH(ROWS($A$3:A5),Observaciones!$N$3:$N$147,0))),"")</f>
        <v/>
      </c>
      <c r="E5" s="33" t="str">
        <f>IFERROR(IF(INDEX(Observaciones!E$3:E$147,MATCH(ROWS($A$3:A5),Observaciones!$N$3:$N$147,0))="","",INDEX(Observaciones!E$3:E$147,MATCH(ROWS($A$3:A5),Observaciones!$N$3:$N$147,0))),"")</f>
        <v/>
      </c>
      <c r="F5" s="30" t="str">
        <f>IFERROR(IF(INDEX(Observaciones!F$3:F$147,MATCH(ROWS($A$3:A5),Observaciones!$N$3:$N$147,0))="","",INDEX(Observaciones!F$3:F$147,MATCH(ROWS($A$3:A5),Observaciones!$N$3:$N$147,0))),"")</f>
        <v/>
      </c>
      <c r="G5" s="32" t="str">
        <f>IFERROR(IF(INDEX(Observaciones!I$3:I$147,MATCH(ROWS($A$3:A5),Observaciones!$N$3:$N$147,0))="","",INDEX(Observaciones!I$3:I$147,MATCH(ROWS($A$3:A5),Observaciones!$N$3:$N$147,0))),"")</f>
        <v/>
      </c>
      <c r="H5" s="33" t="str">
        <f>IFERROR(IF(INDEX(Observaciones!J$3:J$147,MATCH(ROWS($A$3:A5),Observaciones!$N$3:$N$147,0))="","",INDEX(Observaciones!J$3:J$147,MATCH(ROWS($A$3:A5),Observaciones!$N$3:$N$147,0))),"")</f>
        <v/>
      </c>
    </row>
    <row r="6" spans="1:8" s="10" customFormat="1" ht="28.95" customHeight="1" x14ac:dyDescent="0.3">
      <c r="A6" s="30" t="str">
        <f>IFERROR(IF(INDEX(Observaciones!A$3:A$147,MATCH(ROWS($A$3:A6),Observaciones!$N$3:$N$147,0))="","",INDEX(Observaciones!A$3:A$147,MATCH(ROWS($A$3:A6),Observaciones!$N$3:$N$147,0))),"")</f>
        <v/>
      </c>
      <c r="B6" s="31" t="str">
        <f>IFERROR(IF(INDEX(Observaciones!C$3:C$147,MATCH(ROWS($A$3:A6),Observaciones!$N$3:$N$147,0))="","",INDEX(Observaciones!C$3:C$147,MATCH(ROWS($A$3:A6),Observaciones!$N$3:$N$147,0))),"")</f>
        <v/>
      </c>
      <c r="C6" s="32" t="str">
        <f>IFERROR(IF(INDEX(Observaciones!B$3:B$147,MATCH(ROWS($A$3:A6),Observaciones!$N$3:$N$147,0))="","",INDEX(Observaciones!B$3:B$147,MATCH(ROWS($A$3:A6),Observaciones!$N$3:$N$147,0))),"")</f>
        <v/>
      </c>
      <c r="D6" s="30" t="str">
        <f>IFERROR(IF(INDEX(Observaciones!D$3:D$147,MATCH(ROWS($A$3:A6),Observaciones!$N$3:$N$147,0))="","",INDEX(Observaciones!D$3:D$147,MATCH(ROWS($A$3:A6),Observaciones!$N$3:$N$147,0))),"")</f>
        <v/>
      </c>
      <c r="E6" s="33" t="str">
        <f>IFERROR(IF(INDEX(Observaciones!E$3:E$147,MATCH(ROWS($A$3:A6),Observaciones!$N$3:$N$147,0))="","",INDEX(Observaciones!E$3:E$147,MATCH(ROWS($A$3:A6),Observaciones!$N$3:$N$147,0))),"")</f>
        <v/>
      </c>
      <c r="F6" s="30" t="str">
        <f>IFERROR(IF(INDEX(Observaciones!F$3:F$147,MATCH(ROWS($A$3:A6),Observaciones!$N$3:$N$147,0))="","",INDEX(Observaciones!F$3:F$147,MATCH(ROWS($A$3:A6),Observaciones!$N$3:$N$147,0))),"")</f>
        <v/>
      </c>
      <c r="G6" s="32" t="str">
        <f>IFERROR(IF(INDEX(Observaciones!I$3:I$147,MATCH(ROWS($A$3:A6),Observaciones!$N$3:$N$147,0))="","",INDEX(Observaciones!I$3:I$147,MATCH(ROWS($A$3:A6),Observaciones!$N$3:$N$147,0))),"")</f>
        <v/>
      </c>
      <c r="H6" s="33" t="str">
        <f>IFERROR(IF(INDEX(Observaciones!J$3:J$147,MATCH(ROWS($A$3:A6),Observaciones!$N$3:$N$147,0))="","",INDEX(Observaciones!J$3:J$147,MATCH(ROWS($A$3:A6),Observaciones!$N$3:$N$147,0))),"")</f>
        <v/>
      </c>
    </row>
    <row r="7" spans="1:8" s="10" customFormat="1" ht="28.95" customHeight="1" x14ac:dyDescent="0.3">
      <c r="A7" s="30" t="str">
        <f>IFERROR(IF(INDEX(Observaciones!A$3:A$147,MATCH(ROWS($A$3:A7),Observaciones!$N$3:$N$147,0))="","",INDEX(Observaciones!A$3:A$147,MATCH(ROWS($A$3:A7),Observaciones!$N$3:$N$147,0))),"")</f>
        <v/>
      </c>
      <c r="B7" s="31" t="str">
        <f>IFERROR(IF(INDEX(Observaciones!C$3:C$147,MATCH(ROWS($A$3:A7),Observaciones!$N$3:$N$147,0))="","",INDEX(Observaciones!C$3:C$147,MATCH(ROWS($A$3:A7),Observaciones!$N$3:$N$147,0))),"")</f>
        <v/>
      </c>
      <c r="C7" s="32" t="str">
        <f>IFERROR(IF(INDEX(Observaciones!B$3:B$147,MATCH(ROWS($A$3:A7),Observaciones!$N$3:$N$147,0))="","",INDEX(Observaciones!B$3:B$147,MATCH(ROWS($A$3:A7),Observaciones!$N$3:$N$147,0))),"")</f>
        <v/>
      </c>
      <c r="D7" s="30" t="str">
        <f>IFERROR(IF(INDEX(Observaciones!D$3:D$147,MATCH(ROWS($A$3:A7),Observaciones!$N$3:$N$147,0))="","",INDEX(Observaciones!D$3:D$147,MATCH(ROWS($A$3:A7),Observaciones!$N$3:$N$147,0))),"")</f>
        <v/>
      </c>
      <c r="E7" s="33" t="str">
        <f>IFERROR(IF(INDEX(Observaciones!E$3:E$147,MATCH(ROWS($A$3:A7),Observaciones!$N$3:$N$147,0))="","",INDEX(Observaciones!E$3:E$147,MATCH(ROWS($A$3:A7),Observaciones!$N$3:$N$147,0))),"")</f>
        <v/>
      </c>
      <c r="F7" s="30" t="str">
        <f>IFERROR(IF(INDEX(Observaciones!F$3:F$147,MATCH(ROWS($A$3:A7),Observaciones!$N$3:$N$147,0))="","",INDEX(Observaciones!F$3:F$147,MATCH(ROWS($A$3:A7),Observaciones!$N$3:$N$147,0))),"")</f>
        <v/>
      </c>
      <c r="G7" s="32" t="str">
        <f>IFERROR(IF(INDEX(Observaciones!I$3:I$147,MATCH(ROWS($A$3:A7),Observaciones!$N$3:$N$147,0))="","",INDEX(Observaciones!I$3:I$147,MATCH(ROWS($A$3:A7),Observaciones!$N$3:$N$147,0))),"")</f>
        <v/>
      </c>
      <c r="H7" s="33" t="str">
        <f>IFERROR(IF(INDEX(Observaciones!J$3:J$147,MATCH(ROWS($A$3:A7),Observaciones!$N$3:$N$147,0))="","",INDEX(Observaciones!J$3:J$147,MATCH(ROWS($A$3:A7),Observaciones!$N$3:$N$147,0))),"")</f>
        <v/>
      </c>
    </row>
    <row r="8" spans="1:8" s="10" customFormat="1" ht="28.95" customHeight="1" x14ac:dyDescent="0.3">
      <c r="A8" s="30" t="str">
        <f>IFERROR(IF(INDEX(Observaciones!A$3:A$147,MATCH(ROWS($A$3:A8),Observaciones!$N$3:$N$147,0))="","",INDEX(Observaciones!A$3:A$147,MATCH(ROWS($A$3:A8),Observaciones!$N$3:$N$147,0))),"")</f>
        <v/>
      </c>
      <c r="B8" s="31" t="str">
        <f>IFERROR(IF(INDEX(Observaciones!C$3:C$147,MATCH(ROWS($A$3:A8),Observaciones!$N$3:$N$147,0))="","",INDEX(Observaciones!C$3:C$147,MATCH(ROWS($A$3:A8),Observaciones!$N$3:$N$147,0))),"")</f>
        <v/>
      </c>
      <c r="C8" s="32" t="str">
        <f>IFERROR(IF(INDEX(Observaciones!B$3:B$147,MATCH(ROWS($A$3:A8),Observaciones!$N$3:$N$147,0))="","",INDEX(Observaciones!B$3:B$147,MATCH(ROWS($A$3:A8),Observaciones!$N$3:$N$147,0))),"")</f>
        <v/>
      </c>
      <c r="D8" s="30" t="str">
        <f>IFERROR(IF(INDEX(Observaciones!D$3:D$147,MATCH(ROWS($A$3:A8),Observaciones!$N$3:$N$147,0))="","",INDEX(Observaciones!D$3:D$147,MATCH(ROWS($A$3:A8),Observaciones!$N$3:$N$147,0))),"")</f>
        <v/>
      </c>
      <c r="E8" s="33" t="str">
        <f>IFERROR(IF(INDEX(Observaciones!E$3:E$147,MATCH(ROWS($A$3:A8),Observaciones!$N$3:$N$147,0))="","",INDEX(Observaciones!E$3:E$147,MATCH(ROWS($A$3:A8),Observaciones!$N$3:$N$147,0))),"")</f>
        <v/>
      </c>
      <c r="F8" s="30" t="str">
        <f>IFERROR(IF(INDEX(Observaciones!F$3:F$147,MATCH(ROWS($A$3:A8),Observaciones!$N$3:$N$147,0))="","",INDEX(Observaciones!F$3:F$147,MATCH(ROWS($A$3:A8),Observaciones!$N$3:$N$147,0))),"")</f>
        <v/>
      </c>
      <c r="G8" s="32" t="str">
        <f>IFERROR(IF(INDEX(Observaciones!I$3:I$147,MATCH(ROWS($A$3:A8),Observaciones!$N$3:$N$147,0))="","",INDEX(Observaciones!I$3:I$147,MATCH(ROWS($A$3:A8),Observaciones!$N$3:$N$147,0))),"")</f>
        <v/>
      </c>
      <c r="H8" s="33" t="str">
        <f>IFERROR(IF(INDEX(Observaciones!J$3:J$147,MATCH(ROWS($A$3:A8),Observaciones!$N$3:$N$147,0))="","",INDEX(Observaciones!J$3:J$147,MATCH(ROWS($A$3:A8),Observaciones!$N$3:$N$147,0))),"")</f>
        <v/>
      </c>
    </row>
    <row r="9" spans="1:8" s="10" customFormat="1" ht="28.95" customHeight="1" x14ac:dyDescent="0.3">
      <c r="A9" s="30" t="str">
        <f>IFERROR(IF(INDEX(Observaciones!A$3:A$147,MATCH(ROWS($A$3:A9),Observaciones!$N$3:$N$147,0))="","",INDEX(Observaciones!A$3:A$147,MATCH(ROWS($A$3:A9),Observaciones!$N$3:$N$147,0))),"")</f>
        <v/>
      </c>
      <c r="B9" s="31" t="str">
        <f>IFERROR(IF(INDEX(Observaciones!C$3:C$147,MATCH(ROWS($A$3:A9),Observaciones!$N$3:$N$147,0))="","",INDEX(Observaciones!C$3:C$147,MATCH(ROWS($A$3:A9),Observaciones!$N$3:$N$147,0))),"")</f>
        <v/>
      </c>
      <c r="C9" s="32" t="str">
        <f>IFERROR(IF(INDEX(Observaciones!B$3:B$147,MATCH(ROWS($A$3:A9),Observaciones!$N$3:$N$147,0))="","",INDEX(Observaciones!B$3:B$147,MATCH(ROWS($A$3:A9),Observaciones!$N$3:$N$147,0))),"")</f>
        <v/>
      </c>
      <c r="D9" s="30" t="str">
        <f>IFERROR(IF(INDEX(Observaciones!D$3:D$147,MATCH(ROWS($A$3:A9),Observaciones!$N$3:$N$147,0))="","",INDEX(Observaciones!D$3:D$147,MATCH(ROWS($A$3:A9),Observaciones!$N$3:$N$147,0))),"")</f>
        <v/>
      </c>
      <c r="E9" s="33" t="str">
        <f>IFERROR(IF(INDEX(Observaciones!E$3:E$147,MATCH(ROWS($A$3:A9),Observaciones!$N$3:$N$147,0))="","",INDEX(Observaciones!E$3:E$147,MATCH(ROWS($A$3:A9),Observaciones!$N$3:$N$147,0))),"")</f>
        <v/>
      </c>
      <c r="F9" s="30" t="str">
        <f>IFERROR(IF(INDEX(Observaciones!F$3:F$147,MATCH(ROWS($A$3:A9),Observaciones!$N$3:$N$147,0))="","",INDEX(Observaciones!F$3:F$147,MATCH(ROWS($A$3:A9),Observaciones!$N$3:$N$147,0))),"")</f>
        <v/>
      </c>
      <c r="G9" s="32" t="str">
        <f>IFERROR(IF(INDEX(Observaciones!I$3:I$147,MATCH(ROWS($A$3:A9),Observaciones!$N$3:$N$147,0))="","",INDEX(Observaciones!I$3:I$147,MATCH(ROWS($A$3:A9),Observaciones!$N$3:$N$147,0))),"")</f>
        <v/>
      </c>
      <c r="H9" s="33" t="str">
        <f>IFERROR(IF(INDEX(Observaciones!J$3:J$147,MATCH(ROWS($A$3:A9),Observaciones!$N$3:$N$147,0))="","",INDEX(Observaciones!J$3:J$147,MATCH(ROWS($A$3:A9),Observaciones!$N$3:$N$147,0))),"")</f>
        <v/>
      </c>
    </row>
    <row r="10" spans="1:8" s="10" customFormat="1" ht="28.95" customHeight="1" x14ac:dyDescent="0.3">
      <c r="A10" s="30" t="str">
        <f>IFERROR(IF(INDEX(Observaciones!A$3:A$147,MATCH(ROWS($A$3:A10),Observaciones!$N$3:$N$147,0))="","",INDEX(Observaciones!A$3:A$147,MATCH(ROWS($A$3:A10),Observaciones!$N$3:$N$147,0))),"")</f>
        <v/>
      </c>
      <c r="B10" s="31" t="str">
        <f>IFERROR(IF(INDEX(Observaciones!C$3:C$147,MATCH(ROWS($A$3:A10),Observaciones!$N$3:$N$147,0))="","",INDEX(Observaciones!C$3:C$147,MATCH(ROWS($A$3:A10),Observaciones!$N$3:$N$147,0))),"")</f>
        <v/>
      </c>
      <c r="C10" s="32" t="str">
        <f>IFERROR(IF(INDEX(Observaciones!B$3:B$147,MATCH(ROWS($A$3:A10),Observaciones!$N$3:$N$147,0))="","",INDEX(Observaciones!B$3:B$147,MATCH(ROWS($A$3:A10),Observaciones!$N$3:$N$147,0))),"")</f>
        <v/>
      </c>
      <c r="D10" s="30" t="str">
        <f>IFERROR(IF(INDEX(Observaciones!D$3:D$147,MATCH(ROWS($A$3:A10),Observaciones!$N$3:$N$147,0))="","",INDEX(Observaciones!D$3:D$147,MATCH(ROWS($A$3:A10),Observaciones!$N$3:$N$147,0))),"")</f>
        <v/>
      </c>
      <c r="E10" s="33" t="str">
        <f>IFERROR(IF(INDEX(Observaciones!E$3:E$147,MATCH(ROWS($A$3:A10),Observaciones!$N$3:$N$147,0))="","",INDEX(Observaciones!E$3:E$147,MATCH(ROWS($A$3:A10),Observaciones!$N$3:$N$147,0))),"")</f>
        <v/>
      </c>
      <c r="F10" s="30" t="str">
        <f>IFERROR(IF(INDEX(Observaciones!F$3:F$147,MATCH(ROWS($A$3:A10),Observaciones!$N$3:$N$147,0))="","",INDEX(Observaciones!F$3:F$147,MATCH(ROWS($A$3:A10),Observaciones!$N$3:$N$147,0))),"")</f>
        <v/>
      </c>
      <c r="G10" s="32" t="str">
        <f>IFERROR(IF(INDEX(Observaciones!I$3:I$147,MATCH(ROWS($A$3:A10),Observaciones!$N$3:$N$147,0))="","",INDEX(Observaciones!I$3:I$147,MATCH(ROWS($A$3:A10),Observaciones!$N$3:$N$147,0))),"")</f>
        <v/>
      </c>
      <c r="H10" s="33" t="str">
        <f>IFERROR(IF(INDEX(Observaciones!J$3:J$147,MATCH(ROWS($A$3:A10),Observaciones!$N$3:$N$147,0))="","",INDEX(Observaciones!J$3:J$147,MATCH(ROWS($A$3:A10),Observaciones!$N$3:$N$147,0))),"")</f>
        <v/>
      </c>
    </row>
    <row r="11" spans="1:8" s="10" customFormat="1" ht="28.95" customHeight="1" x14ac:dyDescent="0.3">
      <c r="A11" s="30" t="str">
        <f>IFERROR(IF(INDEX(Observaciones!A$3:A$147,MATCH(ROWS($A$3:A11),Observaciones!$N$3:$N$147,0))="","",INDEX(Observaciones!A$3:A$147,MATCH(ROWS($A$3:A11),Observaciones!$N$3:$N$147,0))),"")</f>
        <v/>
      </c>
      <c r="B11" s="31" t="str">
        <f>IFERROR(IF(INDEX(Observaciones!C$3:C$147,MATCH(ROWS($A$3:A11),Observaciones!$N$3:$N$147,0))="","",INDEX(Observaciones!C$3:C$147,MATCH(ROWS($A$3:A11),Observaciones!$N$3:$N$147,0))),"")</f>
        <v/>
      </c>
      <c r="C11" s="32" t="str">
        <f>IFERROR(IF(INDEX(Observaciones!B$3:B$147,MATCH(ROWS($A$3:A11),Observaciones!$N$3:$N$147,0))="","",INDEX(Observaciones!B$3:B$147,MATCH(ROWS($A$3:A11),Observaciones!$N$3:$N$147,0))),"")</f>
        <v/>
      </c>
      <c r="D11" s="30" t="str">
        <f>IFERROR(IF(INDEX(Observaciones!D$3:D$147,MATCH(ROWS($A$3:A11),Observaciones!$N$3:$N$147,0))="","",INDEX(Observaciones!D$3:D$147,MATCH(ROWS($A$3:A11),Observaciones!$N$3:$N$147,0))),"")</f>
        <v/>
      </c>
      <c r="E11" s="33" t="str">
        <f>IFERROR(IF(INDEX(Observaciones!E$3:E$147,MATCH(ROWS($A$3:A11),Observaciones!$N$3:$N$147,0))="","",INDEX(Observaciones!E$3:E$147,MATCH(ROWS($A$3:A11),Observaciones!$N$3:$N$147,0))),"")</f>
        <v/>
      </c>
      <c r="F11" s="30" t="str">
        <f>IFERROR(IF(INDEX(Observaciones!F$3:F$147,MATCH(ROWS($A$3:A11),Observaciones!$N$3:$N$147,0))="","",INDEX(Observaciones!F$3:F$147,MATCH(ROWS($A$3:A11),Observaciones!$N$3:$N$147,0))),"")</f>
        <v/>
      </c>
      <c r="G11" s="32" t="str">
        <f>IFERROR(IF(INDEX(Observaciones!I$3:I$147,MATCH(ROWS($A$3:A11),Observaciones!$N$3:$N$147,0))="","",INDEX(Observaciones!I$3:I$147,MATCH(ROWS($A$3:A11),Observaciones!$N$3:$N$147,0))),"")</f>
        <v/>
      </c>
      <c r="H11" s="33" t="str">
        <f>IFERROR(IF(INDEX(Observaciones!J$3:J$147,MATCH(ROWS($A$3:A11),Observaciones!$N$3:$N$147,0))="","",INDEX(Observaciones!J$3:J$147,MATCH(ROWS($A$3:A11),Observaciones!$N$3:$N$147,0))),"")</f>
        <v/>
      </c>
    </row>
    <row r="12" spans="1:8" s="10" customFormat="1" ht="28.95" customHeight="1" x14ac:dyDescent="0.3">
      <c r="A12" s="30" t="str">
        <f>IFERROR(IF(INDEX(Observaciones!A$3:A$147,MATCH(ROWS($A$3:A12),Observaciones!$N$3:$N$147,0))="","",INDEX(Observaciones!A$3:A$147,MATCH(ROWS($A$3:A12),Observaciones!$N$3:$N$147,0))),"")</f>
        <v/>
      </c>
      <c r="B12" s="31" t="str">
        <f>IFERROR(IF(INDEX(Observaciones!C$3:C$147,MATCH(ROWS($A$3:A12),Observaciones!$N$3:$N$147,0))="","",INDEX(Observaciones!C$3:C$147,MATCH(ROWS($A$3:A12),Observaciones!$N$3:$N$147,0))),"")</f>
        <v/>
      </c>
      <c r="C12" s="32" t="str">
        <f>IFERROR(IF(INDEX(Observaciones!B$3:B$147,MATCH(ROWS($A$3:A12),Observaciones!$N$3:$N$147,0))="","",INDEX(Observaciones!B$3:B$147,MATCH(ROWS($A$3:A12),Observaciones!$N$3:$N$147,0))),"")</f>
        <v/>
      </c>
      <c r="D12" s="30" t="str">
        <f>IFERROR(IF(INDEX(Observaciones!D$3:D$147,MATCH(ROWS($A$3:A12),Observaciones!$N$3:$N$147,0))="","",INDEX(Observaciones!D$3:D$147,MATCH(ROWS($A$3:A12),Observaciones!$N$3:$N$147,0))),"")</f>
        <v/>
      </c>
      <c r="E12" s="33" t="str">
        <f>IFERROR(IF(INDEX(Observaciones!E$3:E$147,MATCH(ROWS($A$3:A12),Observaciones!$N$3:$N$147,0))="","",INDEX(Observaciones!E$3:E$147,MATCH(ROWS($A$3:A12),Observaciones!$N$3:$N$147,0))),"")</f>
        <v/>
      </c>
      <c r="F12" s="30" t="str">
        <f>IFERROR(IF(INDEX(Observaciones!F$3:F$147,MATCH(ROWS($A$3:A12),Observaciones!$N$3:$N$147,0))="","",INDEX(Observaciones!F$3:F$147,MATCH(ROWS($A$3:A12),Observaciones!$N$3:$N$147,0))),"")</f>
        <v/>
      </c>
      <c r="G12" s="32" t="str">
        <f>IFERROR(IF(INDEX(Observaciones!I$3:I$147,MATCH(ROWS($A$3:A12),Observaciones!$N$3:$N$147,0))="","",INDEX(Observaciones!I$3:I$147,MATCH(ROWS($A$3:A12),Observaciones!$N$3:$N$147,0))),"")</f>
        <v/>
      </c>
      <c r="H12" s="33" t="str">
        <f>IFERROR(IF(INDEX(Observaciones!J$3:J$147,MATCH(ROWS($A$3:A12),Observaciones!$N$3:$N$147,0))="","",INDEX(Observaciones!J$3:J$147,MATCH(ROWS($A$3:A12),Observaciones!$N$3:$N$147,0))),"")</f>
        <v/>
      </c>
    </row>
    <row r="13" spans="1:8" s="10" customFormat="1" ht="28.95" customHeight="1" x14ac:dyDescent="0.3">
      <c r="A13" s="30" t="str">
        <f>IFERROR(IF(INDEX(Observaciones!A$3:A$147,MATCH(ROWS($A$3:A13),Observaciones!$N$3:$N$147,0))="","",INDEX(Observaciones!A$3:A$147,MATCH(ROWS($A$3:A13),Observaciones!$N$3:$N$147,0))),"")</f>
        <v/>
      </c>
      <c r="B13" s="31" t="str">
        <f>IFERROR(IF(INDEX(Observaciones!C$3:C$147,MATCH(ROWS($A$3:A13),Observaciones!$N$3:$N$147,0))="","",INDEX(Observaciones!C$3:C$147,MATCH(ROWS($A$3:A13),Observaciones!$N$3:$N$147,0))),"")</f>
        <v/>
      </c>
      <c r="C13" s="32" t="str">
        <f>IFERROR(IF(INDEX(Observaciones!B$3:B$147,MATCH(ROWS($A$3:A13),Observaciones!$N$3:$N$147,0))="","",INDEX(Observaciones!B$3:B$147,MATCH(ROWS($A$3:A13),Observaciones!$N$3:$N$147,0))),"")</f>
        <v/>
      </c>
      <c r="D13" s="30" t="str">
        <f>IFERROR(IF(INDEX(Observaciones!D$3:D$147,MATCH(ROWS($A$3:A13),Observaciones!$N$3:$N$147,0))="","",INDEX(Observaciones!D$3:D$147,MATCH(ROWS($A$3:A13),Observaciones!$N$3:$N$147,0))),"")</f>
        <v/>
      </c>
      <c r="E13" s="33" t="str">
        <f>IFERROR(IF(INDEX(Observaciones!E$3:E$147,MATCH(ROWS($A$3:A13),Observaciones!$N$3:$N$147,0))="","",INDEX(Observaciones!E$3:E$147,MATCH(ROWS($A$3:A13),Observaciones!$N$3:$N$147,0))),"")</f>
        <v/>
      </c>
      <c r="F13" s="30" t="str">
        <f>IFERROR(IF(INDEX(Observaciones!F$3:F$147,MATCH(ROWS($A$3:A13),Observaciones!$N$3:$N$147,0))="","",INDEX(Observaciones!F$3:F$147,MATCH(ROWS($A$3:A13),Observaciones!$N$3:$N$147,0))),"")</f>
        <v/>
      </c>
      <c r="G13" s="32" t="str">
        <f>IFERROR(IF(INDEX(Observaciones!I$3:I$147,MATCH(ROWS($A$3:A13),Observaciones!$N$3:$N$147,0))="","",INDEX(Observaciones!I$3:I$147,MATCH(ROWS($A$3:A13),Observaciones!$N$3:$N$147,0))),"")</f>
        <v/>
      </c>
      <c r="H13" s="33" t="str">
        <f>IFERROR(IF(INDEX(Observaciones!J$3:J$147,MATCH(ROWS($A$3:A13),Observaciones!$N$3:$N$147,0))="","",INDEX(Observaciones!J$3:J$147,MATCH(ROWS($A$3:A13),Observaciones!$N$3:$N$147,0))),"")</f>
        <v/>
      </c>
    </row>
    <row r="14" spans="1:8" s="10" customFormat="1" ht="28.95" customHeight="1" x14ac:dyDescent="0.3">
      <c r="A14" s="30" t="str">
        <f>IFERROR(IF(INDEX(Observaciones!A$3:A$147,MATCH(ROWS($A$3:A14),Observaciones!$N$3:$N$147,0))="","",INDEX(Observaciones!A$3:A$147,MATCH(ROWS($A$3:A14),Observaciones!$N$3:$N$147,0))),"")</f>
        <v/>
      </c>
      <c r="B14" s="31" t="str">
        <f>IFERROR(IF(INDEX(Observaciones!C$3:C$147,MATCH(ROWS($A$3:A14),Observaciones!$N$3:$N$147,0))="","",INDEX(Observaciones!C$3:C$147,MATCH(ROWS($A$3:A14),Observaciones!$N$3:$N$147,0))),"")</f>
        <v/>
      </c>
      <c r="C14" s="32" t="str">
        <f>IFERROR(IF(INDEX(Observaciones!B$3:B$147,MATCH(ROWS($A$3:A14),Observaciones!$N$3:$N$147,0))="","",INDEX(Observaciones!B$3:B$147,MATCH(ROWS($A$3:A14),Observaciones!$N$3:$N$147,0))),"")</f>
        <v/>
      </c>
      <c r="D14" s="30" t="str">
        <f>IFERROR(IF(INDEX(Observaciones!D$3:D$147,MATCH(ROWS($A$3:A14),Observaciones!$N$3:$N$147,0))="","",INDEX(Observaciones!D$3:D$147,MATCH(ROWS($A$3:A14),Observaciones!$N$3:$N$147,0))),"")</f>
        <v/>
      </c>
      <c r="E14" s="33" t="str">
        <f>IFERROR(IF(INDEX(Observaciones!E$3:E$147,MATCH(ROWS($A$3:A14),Observaciones!$N$3:$N$147,0))="","",INDEX(Observaciones!E$3:E$147,MATCH(ROWS($A$3:A14),Observaciones!$N$3:$N$147,0))),"")</f>
        <v/>
      </c>
      <c r="F14" s="30" t="str">
        <f>IFERROR(IF(INDEX(Observaciones!F$3:F$147,MATCH(ROWS($A$3:A14),Observaciones!$N$3:$N$147,0))="","",INDEX(Observaciones!F$3:F$147,MATCH(ROWS($A$3:A14),Observaciones!$N$3:$N$147,0))),"")</f>
        <v/>
      </c>
      <c r="G14" s="32" t="str">
        <f>IFERROR(IF(INDEX(Observaciones!I$3:I$147,MATCH(ROWS($A$3:A14),Observaciones!$N$3:$N$147,0))="","",INDEX(Observaciones!I$3:I$147,MATCH(ROWS($A$3:A14),Observaciones!$N$3:$N$147,0))),"")</f>
        <v/>
      </c>
      <c r="H14" s="33" t="str">
        <f>IFERROR(IF(INDEX(Observaciones!J$3:J$147,MATCH(ROWS($A$3:A14),Observaciones!$N$3:$N$147,0))="","",INDEX(Observaciones!J$3:J$147,MATCH(ROWS($A$3:A14),Observaciones!$N$3:$N$147,0))),"")</f>
        <v/>
      </c>
    </row>
    <row r="15" spans="1:8" s="10" customFormat="1" ht="28.95" customHeight="1" x14ac:dyDescent="0.3">
      <c r="A15" s="30" t="str">
        <f>IFERROR(IF(INDEX(Observaciones!A$3:A$147,MATCH(ROWS($A$3:A15),Observaciones!$N$3:$N$147,0))="","",INDEX(Observaciones!A$3:A$147,MATCH(ROWS($A$3:A15),Observaciones!$N$3:$N$147,0))),"")</f>
        <v/>
      </c>
      <c r="B15" s="31" t="str">
        <f>IFERROR(IF(INDEX(Observaciones!C$3:C$147,MATCH(ROWS($A$3:A15),Observaciones!$N$3:$N$147,0))="","",INDEX(Observaciones!C$3:C$147,MATCH(ROWS($A$3:A15),Observaciones!$N$3:$N$147,0))),"")</f>
        <v/>
      </c>
      <c r="C15" s="32" t="str">
        <f>IFERROR(IF(INDEX(Observaciones!B$3:B$147,MATCH(ROWS($A$3:A15),Observaciones!$N$3:$N$147,0))="","",INDEX(Observaciones!B$3:B$147,MATCH(ROWS($A$3:A15),Observaciones!$N$3:$N$147,0))),"")</f>
        <v/>
      </c>
      <c r="D15" s="30" t="str">
        <f>IFERROR(IF(INDEX(Observaciones!D$3:D$147,MATCH(ROWS($A$3:A15),Observaciones!$N$3:$N$147,0))="","",INDEX(Observaciones!D$3:D$147,MATCH(ROWS($A$3:A15),Observaciones!$N$3:$N$147,0))),"")</f>
        <v/>
      </c>
      <c r="E15" s="33" t="str">
        <f>IFERROR(IF(INDEX(Observaciones!E$3:E$147,MATCH(ROWS($A$3:A15),Observaciones!$N$3:$N$147,0))="","",INDEX(Observaciones!E$3:E$147,MATCH(ROWS($A$3:A15),Observaciones!$N$3:$N$147,0))),"")</f>
        <v/>
      </c>
      <c r="F15" s="30" t="str">
        <f>IFERROR(IF(INDEX(Observaciones!F$3:F$147,MATCH(ROWS($A$3:A15),Observaciones!$N$3:$N$147,0))="","",INDEX(Observaciones!F$3:F$147,MATCH(ROWS($A$3:A15),Observaciones!$N$3:$N$147,0))),"")</f>
        <v/>
      </c>
      <c r="G15" s="32" t="str">
        <f>IFERROR(IF(INDEX(Observaciones!I$3:I$147,MATCH(ROWS($A$3:A15),Observaciones!$N$3:$N$147,0))="","",INDEX(Observaciones!I$3:I$147,MATCH(ROWS($A$3:A15),Observaciones!$N$3:$N$147,0))),"")</f>
        <v/>
      </c>
      <c r="H15" s="33" t="str">
        <f>IFERROR(IF(INDEX(Observaciones!J$3:J$147,MATCH(ROWS($A$3:A15),Observaciones!$N$3:$N$147,0))="","",INDEX(Observaciones!J$3:J$147,MATCH(ROWS($A$3:A15),Observaciones!$N$3:$N$147,0))),"")</f>
        <v/>
      </c>
    </row>
    <row r="16" spans="1:8" s="10" customFormat="1" ht="28.95" customHeight="1" x14ac:dyDescent="0.3">
      <c r="A16" s="30" t="str">
        <f>IFERROR(IF(INDEX(Observaciones!A$3:A$147,MATCH(ROWS($A$3:A16),Observaciones!$N$3:$N$147,0))="","",INDEX(Observaciones!A$3:A$147,MATCH(ROWS($A$3:A16),Observaciones!$N$3:$N$147,0))),"")</f>
        <v/>
      </c>
      <c r="B16" s="31" t="str">
        <f>IFERROR(IF(INDEX(Observaciones!C$3:C$147,MATCH(ROWS($A$3:A16),Observaciones!$N$3:$N$147,0))="","",INDEX(Observaciones!C$3:C$147,MATCH(ROWS($A$3:A16),Observaciones!$N$3:$N$147,0))),"")</f>
        <v/>
      </c>
      <c r="C16" s="32" t="str">
        <f>IFERROR(IF(INDEX(Observaciones!B$3:B$147,MATCH(ROWS($A$3:A16),Observaciones!$N$3:$N$147,0))="","",INDEX(Observaciones!B$3:B$147,MATCH(ROWS($A$3:A16),Observaciones!$N$3:$N$147,0))),"")</f>
        <v/>
      </c>
      <c r="D16" s="30" t="str">
        <f>IFERROR(IF(INDEX(Observaciones!D$3:D$147,MATCH(ROWS($A$3:A16),Observaciones!$N$3:$N$147,0))="","",INDEX(Observaciones!D$3:D$147,MATCH(ROWS($A$3:A16),Observaciones!$N$3:$N$147,0))),"")</f>
        <v/>
      </c>
      <c r="E16" s="33" t="str">
        <f>IFERROR(IF(INDEX(Observaciones!E$3:E$147,MATCH(ROWS($A$3:A16),Observaciones!$N$3:$N$147,0))="","",INDEX(Observaciones!E$3:E$147,MATCH(ROWS($A$3:A16),Observaciones!$N$3:$N$147,0))),"")</f>
        <v/>
      </c>
      <c r="F16" s="30" t="str">
        <f>IFERROR(IF(INDEX(Observaciones!F$3:F$147,MATCH(ROWS($A$3:A16),Observaciones!$N$3:$N$147,0))="","",INDEX(Observaciones!F$3:F$147,MATCH(ROWS($A$3:A16),Observaciones!$N$3:$N$147,0))),"")</f>
        <v/>
      </c>
      <c r="G16" s="32" t="str">
        <f>IFERROR(IF(INDEX(Observaciones!I$3:I$147,MATCH(ROWS($A$3:A16),Observaciones!$N$3:$N$147,0))="","",INDEX(Observaciones!I$3:I$147,MATCH(ROWS($A$3:A16),Observaciones!$N$3:$N$147,0))),"")</f>
        <v/>
      </c>
      <c r="H16" s="33" t="str">
        <f>IFERROR(IF(INDEX(Observaciones!J$3:J$147,MATCH(ROWS($A$3:A16),Observaciones!$N$3:$N$147,0))="","",INDEX(Observaciones!J$3:J$147,MATCH(ROWS($A$3:A16),Observaciones!$N$3:$N$147,0))),"")</f>
        <v/>
      </c>
    </row>
    <row r="17" spans="1:8" s="10" customFormat="1" ht="28.95" customHeight="1" x14ac:dyDescent="0.3">
      <c r="A17" s="30" t="str">
        <f>IFERROR(IF(INDEX(Observaciones!A$3:A$147,MATCH(ROWS($A$3:A17),Observaciones!$N$3:$N$147,0))="","",INDEX(Observaciones!A$3:A$147,MATCH(ROWS($A$3:A17),Observaciones!$N$3:$N$147,0))),"")</f>
        <v/>
      </c>
      <c r="B17" s="31" t="str">
        <f>IFERROR(IF(INDEX(Observaciones!C$3:C$147,MATCH(ROWS($A$3:A17),Observaciones!$N$3:$N$147,0))="","",INDEX(Observaciones!C$3:C$147,MATCH(ROWS($A$3:A17),Observaciones!$N$3:$N$147,0))),"")</f>
        <v/>
      </c>
      <c r="C17" s="32" t="str">
        <f>IFERROR(IF(INDEX(Observaciones!B$3:B$147,MATCH(ROWS($A$3:A17),Observaciones!$N$3:$N$147,0))="","",INDEX(Observaciones!B$3:B$147,MATCH(ROWS($A$3:A17),Observaciones!$N$3:$N$147,0))),"")</f>
        <v/>
      </c>
      <c r="D17" s="30" t="str">
        <f>IFERROR(IF(INDEX(Observaciones!D$3:D$147,MATCH(ROWS($A$3:A17),Observaciones!$N$3:$N$147,0))="","",INDEX(Observaciones!D$3:D$147,MATCH(ROWS($A$3:A17),Observaciones!$N$3:$N$147,0))),"")</f>
        <v/>
      </c>
      <c r="E17" s="33" t="str">
        <f>IFERROR(IF(INDEX(Observaciones!E$3:E$147,MATCH(ROWS($A$3:A17),Observaciones!$N$3:$N$147,0))="","",INDEX(Observaciones!E$3:E$147,MATCH(ROWS($A$3:A17),Observaciones!$N$3:$N$147,0))),"")</f>
        <v/>
      </c>
      <c r="F17" s="30" t="str">
        <f>IFERROR(IF(INDEX(Observaciones!F$3:F$147,MATCH(ROWS($A$3:A17),Observaciones!$N$3:$N$147,0))="","",INDEX(Observaciones!F$3:F$147,MATCH(ROWS($A$3:A17),Observaciones!$N$3:$N$147,0))),"")</f>
        <v/>
      </c>
      <c r="G17" s="32" t="str">
        <f>IFERROR(IF(INDEX(Observaciones!I$3:I$147,MATCH(ROWS($A$3:A17),Observaciones!$N$3:$N$147,0))="","",INDEX(Observaciones!I$3:I$147,MATCH(ROWS($A$3:A17),Observaciones!$N$3:$N$147,0))),"")</f>
        <v/>
      </c>
      <c r="H17" s="33" t="str">
        <f>IFERROR(IF(INDEX(Observaciones!J$3:J$147,MATCH(ROWS($A$3:A17),Observaciones!$N$3:$N$147,0))="","",INDEX(Observaciones!J$3:J$147,MATCH(ROWS($A$3:A17),Observaciones!$N$3:$N$147,0))),"")</f>
        <v/>
      </c>
    </row>
    <row r="18" spans="1:8" s="10" customFormat="1" ht="28.95" customHeight="1" x14ac:dyDescent="0.3">
      <c r="A18" s="30" t="str">
        <f>IFERROR(IF(INDEX(Observaciones!A$3:A$147,MATCH(ROWS($A$3:A18),Observaciones!$N$3:$N$147,0))="","",INDEX(Observaciones!A$3:A$147,MATCH(ROWS($A$3:A18),Observaciones!$N$3:$N$147,0))),"")</f>
        <v/>
      </c>
      <c r="B18" s="31" t="str">
        <f>IFERROR(IF(INDEX(Observaciones!C$3:C$147,MATCH(ROWS($A$3:A18),Observaciones!$N$3:$N$147,0))="","",INDEX(Observaciones!C$3:C$147,MATCH(ROWS($A$3:A18),Observaciones!$N$3:$N$147,0))),"")</f>
        <v/>
      </c>
      <c r="C18" s="32" t="str">
        <f>IFERROR(IF(INDEX(Observaciones!B$3:B$147,MATCH(ROWS($A$3:A18),Observaciones!$N$3:$N$147,0))="","",INDEX(Observaciones!B$3:B$147,MATCH(ROWS($A$3:A18),Observaciones!$N$3:$N$147,0))),"")</f>
        <v/>
      </c>
      <c r="D18" s="30" t="str">
        <f>IFERROR(IF(INDEX(Observaciones!D$3:D$147,MATCH(ROWS($A$3:A18),Observaciones!$N$3:$N$147,0))="","",INDEX(Observaciones!D$3:D$147,MATCH(ROWS($A$3:A18),Observaciones!$N$3:$N$147,0))),"")</f>
        <v/>
      </c>
      <c r="E18" s="33" t="str">
        <f>IFERROR(IF(INDEX(Observaciones!E$3:E$147,MATCH(ROWS($A$3:A18),Observaciones!$N$3:$N$147,0))="","",INDEX(Observaciones!E$3:E$147,MATCH(ROWS($A$3:A18),Observaciones!$N$3:$N$147,0))),"")</f>
        <v/>
      </c>
      <c r="F18" s="30" t="str">
        <f>IFERROR(IF(INDEX(Observaciones!F$3:F$147,MATCH(ROWS($A$3:A18),Observaciones!$N$3:$N$147,0))="","",INDEX(Observaciones!F$3:F$147,MATCH(ROWS($A$3:A18),Observaciones!$N$3:$N$147,0))),"")</f>
        <v/>
      </c>
      <c r="G18" s="32" t="str">
        <f>IFERROR(IF(INDEX(Observaciones!I$3:I$147,MATCH(ROWS($A$3:A18),Observaciones!$N$3:$N$147,0))="","",INDEX(Observaciones!I$3:I$147,MATCH(ROWS($A$3:A18),Observaciones!$N$3:$N$147,0))),"")</f>
        <v/>
      </c>
      <c r="H18" s="33" t="str">
        <f>IFERROR(IF(INDEX(Observaciones!J$3:J$147,MATCH(ROWS($A$3:A18),Observaciones!$N$3:$N$147,0))="","",INDEX(Observaciones!J$3:J$147,MATCH(ROWS($A$3:A18),Observaciones!$N$3:$N$147,0))),"")</f>
        <v/>
      </c>
    </row>
    <row r="19" spans="1:8" s="10" customFormat="1" ht="28.95" customHeight="1" x14ac:dyDescent="0.3">
      <c r="A19" s="30" t="str">
        <f>IFERROR(IF(INDEX(Observaciones!A$3:A$147,MATCH(ROWS($A$3:A19),Observaciones!$N$3:$N$147,0))="","",INDEX(Observaciones!A$3:A$147,MATCH(ROWS($A$3:A19),Observaciones!$N$3:$N$147,0))),"")</f>
        <v/>
      </c>
      <c r="B19" s="31" t="str">
        <f>IFERROR(IF(INDEX(Observaciones!C$3:C$147,MATCH(ROWS($A$3:A19),Observaciones!$N$3:$N$147,0))="","",INDEX(Observaciones!C$3:C$147,MATCH(ROWS($A$3:A19),Observaciones!$N$3:$N$147,0))),"")</f>
        <v/>
      </c>
      <c r="C19" s="32" t="str">
        <f>IFERROR(IF(INDEX(Observaciones!B$3:B$147,MATCH(ROWS($A$3:A19),Observaciones!$N$3:$N$147,0))="","",INDEX(Observaciones!B$3:B$147,MATCH(ROWS($A$3:A19),Observaciones!$N$3:$N$147,0))),"")</f>
        <v/>
      </c>
      <c r="D19" s="30" t="str">
        <f>IFERROR(IF(INDEX(Observaciones!D$3:D$147,MATCH(ROWS($A$3:A19),Observaciones!$N$3:$N$147,0))="","",INDEX(Observaciones!D$3:D$147,MATCH(ROWS($A$3:A19),Observaciones!$N$3:$N$147,0))),"")</f>
        <v/>
      </c>
      <c r="E19" s="33" t="str">
        <f>IFERROR(IF(INDEX(Observaciones!E$3:E$147,MATCH(ROWS($A$3:A19),Observaciones!$N$3:$N$147,0))="","",INDEX(Observaciones!E$3:E$147,MATCH(ROWS($A$3:A19),Observaciones!$N$3:$N$147,0))),"")</f>
        <v/>
      </c>
      <c r="F19" s="30" t="str">
        <f>IFERROR(IF(INDEX(Observaciones!F$3:F$147,MATCH(ROWS($A$3:A19),Observaciones!$N$3:$N$147,0))="","",INDEX(Observaciones!F$3:F$147,MATCH(ROWS($A$3:A19),Observaciones!$N$3:$N$147,0))),"")</f>
        <v/>
      </c>
      <c r="G19" s="32" t="str">
        <f>IFERROR(IF(INDEX(Observaciones!I$3:I$147,MATCH(ROWS($A$3:A19),Observaciones!$N$3:$N$147,0))="","",INDEX(Observaciones!I$3:I$147,MATCH(ROWS($A$3:A19),Observaciones!$N$3:$N$147,0))),"")</f>
        <v/>
      </c>
      <c r="H19" s="33" t="str">
        <f>IFERROR(IF(INDEX(Observaciones!J$3:J$147,MATCH(ROWS($A$3:A19),Observaciones!$N$3:$N$147,0))="","",INDEX(Observaciones!J$3:J$147,MATCH(ROWS($A$3:A19),Observaciones!$N$3:$N$147,0))),"")</f>
        <v/>
      </c>
    </row>
    <row r="20" spans="1:8" s="10" customFormat="1" ht="28.95" customHeight="1" x14ac:dyDescent="0.3">
      <c r="A20" s="30" t="str">
        <f>IFERROR(IF(INDEX(Observaciones!A$3:A$147,MATCH(ROWS($A$3:A20),Observaciones!$N$3:$N$147,0))="","",INDEX(Observaciones!A$3:A$147,MATCH(ROWS($A$3:A20),Observaciones!$N$3:$N$147,0))),"")</f>
        <v/>
      </c>
      <c r="B20" s="31" t="str">
        <f>IFERROR(IF(INDEX(Observaciones!C$3:C$147,MATCH(ROWS($A$3:A20),Observaciones!$N$3:$N$147,0))="","",INDEX(Observaciones!C$3:C$147,MATCH(ROWS($A$3:A20),Observaciones!$N$3:$N$147,0))),"")</f>
        <v/>
      </c>
      <c r="C20" s="32" t="str">
        <f>IFERROR(IF(INDEX(Observaciones!B$3:B$147,MATCH(ROWS($A$3:A20),Observaciones!$N$3:$N$147,0))="","",INDEX(Observaciones!B$3:B$147,MATCH(ROWS($A$3:A20),Observaciones!$N$3:$N$147,0))),"")</f>
        <v/>
      </c>
      <c r="D20" s="30" t="str">
        <f>IFERROR(IF(INDEX(Observaciones!D$3:D$147,MATCH(ROWS($A$3:A20),Observaciones!$N$3:$N$147,0))="","",INDEX(Observaciones!D$3:D$147,MATCH(ROWS($A$3:A20),Observaciones!$N$3:$N$147,0))),"")</f>
        <v/>
      </c>
      <c r="E20" s="33" t="str">
        <f>IFERROR(IF(INDEX(Observaciones!E$3:E$147,MATCH(ROWS($A$3:A20),Observaciones!$N$3:$N$147,0))="","",INDEX(Observaciones!E$3:E$147,MATCH(ROWS($A$3:A20),Observaciones!$N$3:$N$147,0))),"")</f>
        <v/>
      </c>
      <c r="F20" s="30" t="str">
        <f>IFERROR(IF(INDEX(Observaciones!F$3:F$147,MATCH(ROWS($A$3:A20),Observaciones!$N$3:$N$147,0))="","",INDEX(Observaciones!F$3:F$147,MATCH(ROWS($A$3:A20),Observaciones!$N$3:$N$147,0))),"")</f>
        <v/>
      </c>
      <c r="G20" s="32" t="str">
        <f>IFERROR(IF(INDEX(Observaciones!I$3:I$147,MATCH(ROWS($A$3:A20),Observaciones!$N$3:$N$147,0))="","",INDEX(Observaciones!I$3:I$147,MATCH(ROWS($A$3:A20),Observaciones!$N$3:$N$147,0))),"")</f>
        <v/>
      </c>
      <c r="H20" s="33" t="str">
        <f>IFERROR(IF(INDEX(Observaciones!J$3:J$147,MATCH(ROWS($A$3:A20),Observaciones!$N$3:$N$147,0))="","",INDEX(Observaciones!J$3:J$147,MATCH(ROWS($A$3:A20),Observaciones!$N$3:$N$147,0))),"")</f>
        <v/>
      </c>
    </row>
    <row r="21" spans="1:8" s="10" customFormat="1" ht="28.95" customHeight="1" x14ac:dyDescent="0.3">
      <c r="A21" s="30" t="str">
        <f>IFERROR(IF(INDEX(Observaciones!A$3:A$147,MATCH(ROWS($A$3:A21),Observaciones!$N$3:$N$147,0))="","",INDEX(Observaciones!A$3:A$147,MATCH(ROWS($A$3:A21),Observaciones!$N$3:$N$147,0))),"")</f>
        <v/>
      </c>
      <c r="B21" s="31" t="str">
        <f>IFERROR(IF(INDEX(Observaciones!C$3:C$147,MATCH(ROWS($A$3:A21),Observaciones!$N$3:$N$147,0))="","",INDEX(Observaciones!C$3:C$147,MATCH(ROWS($A$3:A21),Observaciones!$N$3:$N$147,0))),"")</f>
        <v/>
      </c>
      <c r="C21" s="32" t="str">
        <f>IFERROR(IF(INDEX(Observaciones!B$3:B$147,MATCH(ROWS($A$3:A21),Observaciones!$N$3:$N$147,0))="","",INDEX(Observaciones!B$3:B$147,MATCH(ROWS($A$3:A21),Observaciones!$N$3:$N$147,0))),"")</f>
        <v/>
      </c>
      <c r="D21" s="30" t="str">
        <f>IFERROR(IF(INDEX(Observaciones!D$3:D$147,MATCH(ROWS($A$3:A21),Observaciones!$N$3:$N$147,0))="","",INDEX(Observaciones!D$3:D$147,MATCH(ROWS($A$3:A21),Observaciones!$N$3:$N$147,0))),"")</f>
        <v/>
      </c>
      <c r="E21" s="33" t="str">
        <f>IFERROR(IF(INDEX(Observaciones!E$3:E$147,MATCH(ROWS($A$3:A21),Observaciones!$N$3:$N$147,0))="","",INDEX(Observaciones!E$3:E$147,MATCH(ROWS($A$3:A21),Observaciones!$N$3:$N$147,0))),"")</f>
        <v/>
      </c>
      <c r="F21" s="30" t="str">
        <f>IFERROR(IF(INDEX(Observaciones!F$3:F$147,MATCH(ROWS($A$3:A21),Observaciones!$N$3:$N$147,0))="","",INDEX(Observaciones!F$3:F$147,MATCH(ROWS($A$3:A21),Observaciones!$N$3:$N$147,0))),"")</f>
        <v/>
      </c>
      <c r="G21" s="32" t="str">
        <f>IFERROR(IF(INDEX(Observaciones!I$3:I$147,MATCH(ROWS($A$3:A21),Observaciones!$N$3:$N$147,0))="","",INDEX(Observaciones!I$3:I$147,MATCH(ROWS($A$3:A21),Observaciones!$N$3:$N$147,0))),"")</f>
        <v/>
      </c>
      <c r="H21" s="33" t="str">
        <f>IFERROR(IF(INDEX(Observaciones!J$3:J$147,MATCH(ROWS($A$3:A21),Observaciones!$N$3:$N$147,0))="","",INDEX(Observaciones!J$3:J$147,MATCH(ROWS($A$3:A21),Observaciones!$N$3:$N$147,0))),"")</f>
        <v/>
      </c>
    </row>
    <row r="22" spans="1:8" s="10" customFormat="1" ht="28.95" customHeight="1" x14ac:dyDescent="0.3">
      <c r="A22" s="30" t="str">
        <f>IFERROR(IF(INDEX(Observaciones!A$3:A$147,MATCH(ROWS($A$3:A22),Observaciones!$N$3:$N$147,0))="","",INDEX(Observaciones!A$3:A$147,MATCH(ROWS($A$3:A22),Observaciones!$N$3:$N$147,0))),"")</f>
        <v/>
      </c>
      <c r="B22" s="31" t="str">
        <f>IFERROR(IF(INDEX(Observaciones!C$3:C$147,MATCH(ROWS($A$3:A22),Observaciones!$N$3:$N$147,0))="","",INDEX(Observaciones!C$3:C$147,MATCH(ROWS($A$3:A22),Observaciones!$N$3:$N$147,0))),"")</f>
        <v/>
      </c>
      <c r="C22" s="32" t="str">
        <f>IFERROR(IF(INDEX(Observaciones!B$3:B$147,MATCH(ROWS($A$3:A22),Observaciones!$N$3:$N$147,0))="","",INDEX(Observaciones!B$3:B$147,MATCH(ROWS($A$3:A22),Observaciones!$N$3:$N$147,0))),"")</f>
        <v/>
      </c>
      <c r="D22" s="30" t="str">
        <f>IFERROR(IF(INDEX(Observaciones!D$3:D$147,MATCH(ROWS($A$3:A22),Observaciones!$N$3:$N$147,0))="","",INDEX(Observaciones!D$3:D$147,MATCH(ROWS($A$3:A22),Observaciones!$N$3:$N$147,0))),"")</f>
        <v/>
      </c>
      <c r="E22" s="33" t="str">
        <f>IFERROR(IF(INDEX(Observaciones!E$3:E$147,MATCH(ROWS($A$3:A22),Observaciones!$N$3:$N$147,0))="","",INDEX(Observaciones!E$3:E$147,MATCH(ROWS($A$3:A22),Observaciones!$N$3:$N$147,0))),"")</f>
        <v/>
      </c>
      <c r="F22" s="30" t="str">
        <f>IFERROR(IF(INDEX(Observaciones!F$3:F$147,MATCH(ROWS($A$3:A22),Observaciones!$N$3:$N$147,0))="","",INDEX(Observaciones!F$3:F$147,MATCH(ROWS($A$3:A22),Observaciones!$N$3:$N$147,0))),"")</f>
        <v/>
      </c>
      <c r="G22" s="32" t="str">
        <f>IFERROR(IF(INDEX(Observaciones!I$3:I$147,MATCH(ROWS($A$3:A22),Observaciones!$N$3:$N$147,0))="","",INDEX(Observaciones!I$3:I$147,MATCH(ROWS($A$3:A22),Observaciones!$N$3:$N$147,0))),"")</f>
        <v/>
      </c>
      <c r="H22" s="33" t="str">
        <f>IFERROR(IF(INDEX(Observaciones!J$3:J$147,MATCH(ROWS($A$3:A22),Observaciones!$N$3:$N$147,0))="","",INDEX(Observaciones!J$3:J$147,MATCH(ROWS($A$3:A22),Observaciones!$N$3:$N$147,0))),"")</f>
        <v/>
      </c>
    </row>
    <row r="23" spans="1:8" s="10" customFormat="1" ht="28.95" customHeight="1" x14ac:dyDescent="0.3">
      <c r="A23" s="30" t="str">
        <f>IFERROR(IF(INDEX(Observaciones!A$3:A$147,MATCH(ROWS($A$3:A23),Observaciones!$N$3:$N$147,0))="","",INDEX(Observaciones!A$3:A$147,MATCH(ROWS($A$3:A23),Observaciones!$N$3:$N$147,0))),"")</f>
        <v/>
      </c>
      <c r="B23" s="31" t="str">
        <f>IFERROR(IF(INDEX(Observaciones!C$3:C$147,MATCH(ROWS($A$3:A23),Observaciones!$N$3:$N$147,0))="","",INDEX(Observaciones!C$3:C$147,MATCH(ROWS($A$3:A23),Observaciones!$N$3:$N$147,0))),"")</f>
        <v/>
      </c>
      <c r="C23" s="32" t="str">
        <f>IFERROR(IF(INDEX(Observaciones!B$3:B$147,MATCH(ROWS($A$3:A23),Observaciones!$N$3:$N$147,0))="","",INDEX(Observaciones!B$3:B$147,MATCH(ROWS($A$3:A23),Observaciones!$N$3:$N$147,0))),"")</f>
        <v/>
      </c>
      <c r="D23" s="30" t="str">
        <f>IFERROR(IF(INDEX(Observaciones!D$3:D$147,MATCH(ROWS($A$3:A23),Observaciones!$N$3:$N$147,0))="","",INDEX(Observaciones!D$3:D$147,MATCH(ROWS($A$3:A23),Observaciones!$N$3:$N$147,0))),"")</f>
        <v/>
      </c>
      <c r="E23" s="33" t="str">
        <f>IFERROR(IF(INDEX(Observaciones!E$3:E$147,MATCH(ROWS($A$3:A23),Observaciones!$N$3:$N$147,0))="","",INDEX(Observaciones!E$3:E$147,MATCH(ROWS($A$3:A23),Observaciones!$N$3:$N$147,0))),"")</f>
        <v/>
      </c>
      <c r="F23" s="30" t="str">
        <f>IFERROR(IF(INDEX(Observaciones!F$3:F$147,MATCH(ROWS($A$3:A23),Observaciones!$N$3:$N$147,0))="","",INDEX(Observaciones!F$3:F$147,MATCH(ROWS($A$3:A23),Observaciones!$N$3:$N$147,0))),"")</f>
        <v/>
      </c>
      <c r="G23" s="32" t="str">
        <f>IFERROR(IF(INDEX(Observaciones!I$3:I$147,MATCH(ROWS($A$3:A23),Observaciones!$N$3:$N$147,0))="","",INDEX(Observaciones!I$3:I$147,MATCH(ROWS($A$3:A23),Observaciones!$N$3:$N$147,0))),"")</f>
        <v/>
      </c>
      <c r="H23" s="33" t="str">
        <f>IFERROR(IF(INDEX(Observaciones!J$3:J$147,MATCH(ROWS($A$3:A23),Observaciones!$N$3:$N$147,0))="","",INDEX(Observaciones!J$3:J$147,MATCH(ROWS($A$3:A23),Observaciones!$N$3:$N$147,0))),"")</f>
        <v/>
      </c>
    </row>
    <row r="24" spans="1:8" s="10" customFormat="1" ht="28.95" customHeight="1" x14ac:dyDescent="0.3">
      <c r="A24" s="30" t="str">
        <f>IFERROR(IF(INDEX(Observaciones!A$3:A$147,MATCH(ROWS($A$3:A24),Observaciones!$N$3:$N$147,0))="","",INDEX(Observaciones!A$3:A$147,MATCH(ROWS($A$3:A24),Observaciones!$N$3:$N$147,0))),"")</f>
        <v/>
      </c>
      <c r="B24" s="31" t="str">
        <f>IFERROR(IF(INDEX(Observaciones!C$3:C$147,MATCH(ROWS($A$3:A24),Observaciones!$N$3:$N$147,0))="","",INDEX(Observaciones!C$3:C$147,MATCH(ROWS($A$3:A24),Observaciones!$N$3:$N$147,0))),"")</f>
        <v/>
      </c>
      <c r="C24" s="32" t="str">
        <f>IFERROR(IF(INDEX(Observaciones!B$3:B$147,MATCH(ROWS($A$3:A24),Observaciones!$N$3:$N$147,0))="","",INDEX(Observaciones!B$3:B$147,MATCH(ROWS($A$3:A24),Observaciones!$N$3:$N$147,0))),"")</f>
        <v/>
      </c>
      <c r="D24" s="30" t="str">
        <f>IFERROR(IF(INDEX(Observaciones!D$3:D$147,MATCH(ROWS($A$3:A24),Observaciones!$N$3:$N$147,0))="","",INDEX(Observaciones!D$3:D$147,MATCH(ROWS($A$3:A24),Observaciones!$N$3:$N$147,0))),"")</f>
        <v/>
      </c>
      <c r="E24" s="33" t="str">
        <f>IFERROR(IF(INDEX(Observaciones!E$3:E$147,MATCH(ROWS($A$3:A24),Observaciones!$N$3:$N$147,0))="","",INDEX(Observaciones!E$3:E$147,MATCH(ROWS($A$3:A24),Observaciones!$N$3:$N$147,0))),"")</f>
        <v/>
      </c>
      <c r="F24" s="30" t="str">
        <f>IFERROR(IF(INDEX(Observaciones!F$3:F$147,MATCH(ROWS($A$3:A24),Observaciones!$N$3:$N$147,0))="","",INDEX(Observaciones!F$3:F$147,MATCH(ROWS($A$3:A24),Observaciones!$N$3:$N$147,0))),"")</f>
        <v/>
      </c>
      <c r="G24" s="32" t="str">
        <f>IFERROR(IF(INDEX(Observaciones!I$3:I$147,MATCH(ROWS($A$3:A24),Observaciones!$N$3:$N$147,0))="","",INDEX(Observaciones!I$3:I$147,MATCH(ROWS($A$3:A24),Observaciones!$N$3:$N$147,0))),"")</f>
        <v/>
      </c>
      <c r="H24" s="33" t="str">
        <f>IFERROR(IF(INDEX(Observaciones!J$3:J$147,MATCH(ROWS($A$3:A24),Observaciones!$N$3:$N$147,0))="","",INDEX(Observaciones!J$3:J$147,MATCH(ROWS($A$3:A24),Observaciones!$N$3:$N$147,0))),"")</f>
        <v/>
      </c>
    </row>
    <row r="25" spans="1:8" s="10" customFormat="1" ht="28.95" customHeight="1" x14ac:dyDescent="0.3">
      <c r="A25" s="30" t="str">
        <f>IFERROR(IF(INDEX(Observaciones!A$3:A$147,MATCH(ROWS($A$3:A25),Observaciones!$N$3:$N$147,0))="","",INDEX(Observaciones!A$3:A$147,MATCH(ROWS($A$3:A25),Observaciones!$N$3:$N$147,0))),"")</f>
        <v/>
      </c>
      <c r="B25" s="31" t="str">
        <f>IFERROR(IF(INDEX(Observaciones!C$3:C$147,MATCH(ROWS($A$3:A25),Observaciones!$N$3:$N$147,0))="","",INDEX(Observaciones!C$3:C$147,MATCH(ROWS($A$3:A25),Observaciones!$N$3:$N$147,0))),"")</f>
        <v/>
      </c>
      <c r="C25" s="32" t="str">
        <f>IFERROR(IF(INDEX(Observaciones!B$3:B$147,MATCH(ROWS($A$3:A25),Observaciones!$N$3:$N$147,0))="","",INDEX(Observaciones!B$3:B$147,MATCH(ROWS($A$3:A25),Observaciones!$N$3:$N$147,0))),"")</f>
        <v/>
      </c>
      <c r="D25" s="30" t="str">
        <f>IFERROR(IF(INDEX(Observaciones!D$3:D$147,MATCH(ROWS($A$3:A25),Observaciones!$N$3:$N$147,0))="","",INDEX(Observaciones!D$3:D$147,MATCH(ROWS($A$3:A25),Observaciones!$N$3:$N$147,0))),"")</f>
        <v/>
      </c>
      <c r="E25" s="33" t="str">
        <f>IFERROR(IF(INDEX(Observaciones!E$3:E$147,MATCH(ROWS($A$3:A25),Observaciones!$N$3:$N$147,0))="","",INDEX(Observaciones!E$3:E$147,MATCH(ROWS($A$3:A25),Observaciones!$N$3:$N$147,0))),"")</f>
        <v/>
      </c>
      <c r="F25" s="30" t="str">
        <f>IFERROR(IF(INDEX(Observaciones!F$3:F$147,MATCH(ROWS($A$3:A25),Observaciones!$N$3:$N$147,0))="","",INDEX(Observaciones!F$3:F$147,MATCH(ROWS($A$3:A25),Observaciones!$N$3:$N$147,0))),"")</f>
        <v/>
      </c>
      <c r="G25" s="32" t="str">
        <f>IFERROR(IF(INDEX(Observaciones!I$3:I$147,MATCH(ROWS($A$3:A25),Observaciones!$N$3:$N$147,0))="","",INDEX(Observaciones!I$3:I$147,MATCH(ROWS($A$3:A25),Observaciones!$N$3:$N$147,0))),"")</f>
        <v/>
      </c>
      <c r="H25" s="33" t="str">
        <f>IFERROR(IF(INDEX(Observaciones!J$3:J$147,MATCH(ROWS($A$3:A25),Observaciones!$N$3:$N$147,0))="","",INDEX(Observaciones!J$3:J$147,MATCH(ROWS($A$3:A25),Observaciones!$N$3:$N$147,0))),"")</f>
        <v/>
      </c>
    </row>
    <row r="26" spans="1:8" s="10" customFormat="1" ht="28.95" customHeight="1" x14ac:dyDescent="0.3">
      <c r="A26" s="30" t="str">
        <f>IFERROR(IF(INDEX(Observaciones!A$3:A$147,MATCH(ROWS($A$3:A26),Observaciones!$N$3:$N$147,0))="","",INDEX(Observaciones!A$3:A$147,MATCH(ROWS($A$3:A26),Observaciones!$N$3:$N$147,0))),"")</f>
        <v/>
      </c>
      <c r="B26" s="31" t="str">
        <f>IFERROR(IF(INDEX(Observaciones!C$3:C$147,MATCH(ROWS($A$3:A26),Observaciones!$N$3:$N$147,0))="","",INDEX(Observaciones!C$3:C$147,MATCH(ROWS($A$3:A26),Observaciones!$N$3:$N$147,0))),"")</f>
        <v/>
      </c>
      <c r="C26" s="32" t="str">
        <f>IFERROR(IF(INDEX(Observaciones!B$3:B$147,MATCH(ROWS($A$3:A26),Observaciones!$N$3:$N$147,0))="","",INDEX(Observaciones!B$3:B$147,MATCH(ROWS($A$3:A26),Observaciones!$N$3:$N$147,0))),"")</f>
        <v/>
      </c>
      <c r="D26" s="30" t="str">
        <f>IFERROR(IF(INDEX(Observaciones!D$3:D$147,MATCH(ROWS($A$3:A26),Observaciones!$N$3:$N$147,0))="","",INDEX(Observaciones!D$3:D$147,MATCH(ROWS($A$3:A26),Observaciones!$N$3:$N$147,0))),"")</f>
        <v/>
      </c>
      <c r="E26" s="33" t="str">
        <f>IFERROR(IF(INDEX(Observaciones!E$3:E$147,MATCH(ROWS($A$3:A26),Observaciones!$N$3:$N$147,0))="","",INDEX(Observaciones!E$3:E$147,MATCH(ROWS($A$3:A26),Observaciones!$N$3:$N$147,0))),"")</f>
        <v/>
      </c>
      <c r="F26" s="30" t="str">
        <f>IFERROR(IF(INDEX(Observaciones!F$3:F$147,MATCH(ROWS($A$3:A26),Observaciones!$N$3:$N$147,0))="","",INDEX(Observaciones!F$3:F$147,MATCH(ROWS($A$3:A26),Observaciones!$N$3:$N$147,0))),"")</f>
        <v/>
      </c>
      <c r="G26" s="32" t="str">
        <f>IFERROR(IF(INDEX(Observaciones!I$3:I$147,MATCH(ROWS($A$3:A26),Observaciones!$N$3:$N$147,0))="","",INDEX(Observaciones!I$3:I$147,MATCH(ROWS($A$3:A26),Observaciones!$N$3:$N$147,0))),"")</f>
        <v/>
      </c>
      <c r="H26" s="33" t="str">
        <f>IFERROR(IF(INDEX(Observaciones!J$3:J$147,MATCH(ROWS($A$3:A26),Observaciones!$N$3:$N$147,0))="","",INDEX(Observaciones!J$3:J$147,MATCH(ROWS($A$3:A26),Observaciones!$N$3:$N$147,0))),"")</f>
        <v/>
      </c>
    </row>
    <row r="27" spans="1:8" s="10" customFormat="1" ht="28.95" customHeight="1" x14ac:dyDescent="0.3">
      <c r="A27" s="30" t="str">
        <f>IFERROR(IF(INDEX(Observaciones!A$3:A$147,MATCH(ROWS($A$3:A27),Observaciones!$N$3:$N$147,0))="","",INDEX(Observaciones!A$3:A$147,MATCH(ROWS($A$3:A27),Observaciones!$N$3:$N$147,0))),"")</f>
        <v/>
      </c>
      <c r="B27" s="31" t="str">
        <f>IFERROR(IF(INDEX(Observaciones!C$3:C$147,MATCH(ROWS($A$3:A27),Observaciones!$N$3:$N$147,0))="","",INDEX(Observaciones!C$3:C$147,MATCH(ROWS($A$3:A27),Observaciones!$N$3:$N$147,0))),"")</f>
        <v/>
      </c>
      <c r="C27" s="32" t="str">
        <f>IFERROR(IF(INDEX(Observaciones!B$3:B$147,MATCH(ROWS($A$3:A27),Observaciones!$N$3:$N$147,0))="","",INDEX(Observaciones!B$3:B$147,MATCH(ROWS($A$3:A27),Observaciones!$N$3:$N$147,0))),"")</f>
        <v/>
      </c>
      <c r="D27" s="30" t="str">
        <f>IFERROR(IF(INDEX(Observaciones!D$3:D$147,MATCH(ROWS($A$3:A27),Observaciones!$N$3:$N$147,0))="","",INDEX(Observaciones!D$3:D$147,MATCH(ROWS($A$3:A27),Observaciones!$N$3:$N$147,0))),"")</f>
        <v/>
      </c>
      <c r="E27" s="33" t="str">
        <f>IFERROR(IF(INDEX(Observaciones!E$3:E$147,MATCH(ROWS($A$3:A27),Observaciones!$N$3:$N$147,0))="","",INDEX(Observaciones!E$3:E$147,MATCH(ROWS($A$3:A27),Observaciones!$N$3:$N$147,0))),"")</f>
        <v/>
      </c>
      <c r="F27" s="30" t="str">
        <f>IFERROR(IF(INDEX(Observaciones!F$3:F$147,MATCH(ROWS($A$3:A27),Observaciones!$N$3:$N$147,0))="","",INDEX(Observaciones!F$3:F$147,MATCH(ROWS($A$3:A27),Observaciones!$N$3:$N$147,0))),"")</f>
        <v/>
      </c>
      <c r="G27" s="32" t="str">
        <f>IFERROR(IF(INDEX(Observaciones!I$3:I$147,MATCH(ROWS($A$3:A27),Observaciones!$N$3:$N$147,0))="","",INDEX(Observaciones!I$3:I$147,MATCH(ROWS($A$3:A27),Observaciones!$N$3:$N$147,0))),"")</f>
        <v/>
      </c>
      <c r="H27" s="33" t="str">
        <f>IFERROR(IF(INDEX(Observaciones!J$3:J$147,MATCH(ROWS($A$3:A27),Observaciones!$N$3:$N$147,0))="","",INDEX(Observaciones!J$3:J$147,MATCH(ROWS($A$3:A27),Observaciones!$N$3:$N$147,0))),"")</f>
        <v/>
      </c>
    </row>
    <row r="28" spans="1:8" s="10" customFormat="1" ht="28.95" customHeight="1" x14ac:dyDescent="0.3">
      <c r="A28" s="30" t="str">
        <f>IFERROR(IF(INDEX(Observaciones!A$3:A$147,MATCH(ROWS($A$3:A28),Observaciones!$N$3:$N$147,0))="","",INDEX(Observaciones!A$3:A$147,MATCH(ROWS($A$3:A28),Observaciones!$N$3:$N$147,0))),"")</f>
        <v/>
      </c>
      <c r="B28" s="31" t="str">
        <f>IFERROR(IF(INDEX(Observaciones!C$3:C$147,MATCH(ROWS($A$3:A28),Observaciones!$N$3:$N$147,0))="","",INDEX(Observaciones!C$3:C$147,MATCH(ROWS($A$3:A28),Observaciones!$N$3:$N$147,0))),"")</f>
        <v/>
      </c>
      <c r="C28" s="32" t="str">
        <f>IFERROR(IF(INDEX(Observaciones!B$3:B$147,MATCH(ROWS($A$3:A28),Observaciones!$N$3:$N$147,0))="","",INDEX(Observaciones!B$3:B$147,MATCH(ROWS($A$3:A28),Observaciones!$N$3:$N$147,0))),"")</f>
        <v/>
      </c>
      <c r="D28" s="30" t="str">
        <f>IFERROR(IF(INDEX(Observaciones!D$3:D$147,MATCH(ROWS($A$3:A28),Observaciones!$N$3:$N$147,0))="","",INDEX(Observaciones!D$3:D$147,MATCH(ROWS($A$3:A28),Observaciones!$N$3:$N$147,0))),"")</f>
        <v/>
      </c>
      <c r="E28" s="33" t="str">
        <f>IFERROR(IF(INDEX(Observaciones!E$3:E$147,MATCH(ROWS($A$3:A28),Observaciones!$N$3:$N$147,0))="","",INDEX(Observaciones!E$3:E$147,MATCH(ROWS($A$3:A28),Observaciones!$N$3:$N$147,0))),"")</f>
        <v/>
      </c>
      <c r="F28" s="30" t="str">
        <f>IFERROR(IF(INDEX(Observaciones!F$3:F$147,MATCH(ROWS($A$3:A28),Observaciones!$N$3:$N$147,0))="","",INDEX(Observaciones!F$3:F$147,MATCH(ROWS($A$3:A28),Observaciones!$N$3:$N$147,0))),"")</f>
        <v/>
      </c>
      <c r="G28" s="32" t="str">
        <f>IFERROR(IF(INDEX(Observaciones!I$3:I$147,MATCH(ROWS($A$3:A28),Observaciones!$N$3:$N$147,0))="","",INDEX(Observaciones!I$3:I$147,MATCH(ROWS($A$3:A28),Observaciones!$N$3:$N$147,0))),"")</f>
        <v/>
      </c>
      <c r="H28" s="33" t="str">
        <f>IFERROR(IF(INDEX(Observaciones!J$3:J$147,MATCH(ROWS($A$3:A28),Observaciones!$N$3:$N$147,0))="","",INDEX(Observaciones!J$3:J$147,MATCH(ROWS($A$3:A28),Observaciones!$N$3:$N$147,0))),"")</f>
        <v/>
      </c>
    </row>
    <row r="29" spans="1:8" s="10" customFormat="1" ht="28.95" customHeight="1" x14ac:dyDescent="0.3">
      <c r="A29" s="30" t="str">
        <f>IFERROR(IF(INDEX(Observaciones!A$3:A$147,MATCH(ROWS($A$3:A29),Observaciones!$N$3:$N$147,0))="","",INDEX(Observaciones!A$3:A$147,MATCH(ROWS($A$3:A29),Observaciones!$N$3:$N$147,0))),"")</f>
        <v/>
      </c>
      <c r="B29" s="31" t="str">
        <f>IFERROR(IF(INDEX(Observaciones!C$3:C$147,MATCH(ROWS($A$3:A29),Observaciones!$N$3:$N$147,0))="","",INDEX(Observaciones!C$3:C$147,MATCH(ROWS($A$3:A29),Observaciones!$N$3:$N$147,0))),"")</f>
        <v/>
      </c>
      <c r="C29" s="32" t="str">
        <f>IFERROR(IF(INDEX(Observaciones!B$3:B$147,MATCH(ROWS($A$3:A29),Observaciones!$N$3:$N$147,0))="","",INDEX(Observaciones!B$3:B$147,MATCH(ROWS($A$3:A29),Observaciones!$N$3:$N$147,0))),"")</f>
        <v/>
      </c>
      <c r="D29" s="30" t="str">
        <f>IFERROR(IF(INDEX(Observaciones!D$3:D$147,MATCH(ROWS($A$3:A29),Observaciones!$N$3:$N$147,0))="","",INDEX(Observaciones!D$3:D$147,MATCH(ROWS($A$3:A29),Observaciones!$N$3:$N$147,0))),"")</f>
        <v/>
      </c>
      <c r="E29" s="33" t="str">
        <f>IFERROR(IF(INDEX(Observaciones!E$3:E$147,MATCH(ROWS($A$3:A29),Observaciones!$N$3:$N$147,0))="","",INDEX(Observaciones!E$3:E$147,MATCH(ROWS($A$3:A29),Observaciones!$N$3:$N$147,0))),"")</f>
        <v/>
      </c>
      <c r="F29" s="30" t="str">
        <f>IFERROR(IF(INDEX(Observaciones!F$3:F$147,MATCH(ROWS($A$3:A29),Observaciones!$N$3:$N$147,0))="","",INDEX(Observaciones!F$3:F$147,MATCH(ROWS($A$3:A29),Observaciones!$N$3:$N$147,0))),"")</f>
        <v/>
      </c>
      <c r="G29" s="32" t="str">
        <f>IFERROR(IF(INDEX(Observaciones!I$3:I$147,MATCH(ROWS($A$3:A29),Observaciones!$N$3:$N$147,0))="","",INDEX(Observaciones!I$3:I$147,MATCH(ROWS($A$3:A29),Observaciones!$N$3:$N$147,0))),"")</f>
        <v/>
      </c>
      <c r="H29" s="33" t="str">
        <f>IFERROR(IF(INDEX(Observaciones!J$3:J$147,MATCH(ROWS($A$3:A29),Observaciones!$N$3:$N$147,0))="","",INDEX(Observaciones!J$3:J$147,MATCH(ROWS($A$3:A29),Observaciones!$N$3:$N$147,0))),"")</f>
        <v/>
      </c>
    </row>
    <row r="30" spans="1:8" s="10" customFormat="1" ht="28.95" customHeight="1" x14ac:dyDescent="0.3">
      <c r="A30" s="30" t="str">
        <f>IFERROR(IF(INDEX(Observaciones!A$3:A$147,MATCH(ROWS($A$3:A30),Observaciones!$N$3:$N$147,0))="","",INDEX(Observaciones!A$3:A$147,MATCH(ROWS($A$3:A30),Observaciones!$N$3:$N$147,0))),"")</f>
        <v/>
      </c>
      <c r="B30" s="31" t="str">
        <f>IFERROR(IF(INDEX(Observaciones!C$3:C$147,MATCH(ROWS($A$3:A30),Observaciones!$N$3:$N$147,0))="","",INDEX(Observaciones!C$3:C$147,MATCH(ROWS($A$3:A30),Observaciones!$N$3:$N$147,0))),"")</f>
        <v/>
      </c>
      <c r="C30" s="32" t="str">
        <f>IFERROR(IF(INDEX(Observaciones!B$3:B$147,MATCH(ROWS($A$3:A30),Observaciones!$N$3:$N$147,0))="","",INDEX(Observaciones!B$3:B$147,MATCH(ROWS($A$3:A30),Observaciones!$N$3:$N$147,0))),"")</f>
        <v/>
      </c>
      <c r="D30" s="30" t="str">
        <f>IFERROR(IF(INDEX(Observaciones!D$3:D$147,MATCH(ROWS($A$3:A30),Observaciones!$N$3:$N$147,0))="","",INDEX(Observaciones!D$3:D$147,MATCH(ROWS($A$3:A30),Observaciones!$N$3:$N$147,0))),"")</f>
        <v/>
      </c>
      <c r="E30" s="33" t="str">
        <f>IFERROR(IF(INDEX(Observaciones!E$3:E$147,MATCH(ROWS($A$3:A30),Observaciones!$N$3:$N$147,0))="","",INDEX(Observaciones!E$3:E$147,MATCH(ROWS($A$3:A30),Observaciones!$N$3:$N$147,0))),"")</f>
        <v/>
      </c>
      <c r="F30" s="30" t="str">
        <f>IFERROR(IF(INDEX(Observaciones!F$3:F$147,MATCH(ROWS($A$3:A30),Observaciones!$N$3:$N$147,0))="","",INDEX(Observaciones!F$3:F$147,MATCH(ROWS($A$3:A30),Observaciones!$N$3:$N$147,0))),"")</f>
        <v/>
      </c>
      <c r="G30" s="32" t="str">
        <f>IFERROR(IF(INDEX(Observaciones!I$3:I$147,MATCH(ROWS($A$3:A30),Observaciones!$N$3:$N$147,0))="","",INDEX(Observaciones!I$3:I$147,MATCH(ROWS($A$3:A30),Observaciones!$N$3:$N$147,0))),"")</f>
        <v/>
      </c>
      <c r="H30" s="33" t="str">
        <f>IFERROR(IF(INDEX(Observaciones!J$3:J$147,MATCH(ROWS($A$3:A30),Observaciones!$N$3:$N$147,0))="","",INDEX(Observaciones!J$3:J$147,MATCH(ROWS($A$3:A30),Observaciones!$N$3:$N$147,0))),"")</f>
        <v/>
      </c>
    </row>
    <row r="31" spans="1:8" s="10" customFormat="1" ht="28.95" customHeight="1" x14ac:dyDescent="0.3">
      <c r="A31" s="30" t="str">
        <f>IFERROR(IF(INDEX(Observaciones!A$3:A$147,MATCH(ROWS($A$3:A31),Observaciones!$N$3:$N$147,0))="","",INDEX(Observaciones!A$3:A$147,MATCH(ROWS($A$3:A31),Observaciones!$N$3:$N$147,0))),"")</f>
        <v/>
      </c>
      <c r="B31" s="31" t="str">
        <f>IFERROR(IF(INDEX(Observaciones!C$3:C$147,MATCH(ROWS($A$3:A31),Observaciones!$N$3:$N$147,0))="","",INDEX(Observaciones!C$3:C$147,MATCH(ROWS($A$3:A31),Observaciones!$N$3:$N$147,0))),"")</f>
        <v/>
      </c>
      <c r="C31" s="32" t="str">
        <f>IFERROR(IF(INDEX(Observaciones!B$3:B$147,MATCH(ROWS($A$3:A31),Observaciones!$N$3:$N$147,0))="","",INDEX(Observaciones!B$3:B$147,MATCH(ROWS($A$3:A31),Observaciones!$N$3:$N$147,0))),"")</f>
        <v/>
      </c>
      <c r="D31" s="30" t="str">
        <f>IFERROR(IF(INDEX(Observaciones!D$3:D$147,MATCH(ROWS($A$3:A31),Observaciones!$N$3:$N$147,0))="","",INDEX(Observaciones!D$3:D$147,MATCH(ROWS($A$3:A31),Observaciones!$N$3:$N$147,0))),"")</f>
        <v/>
      </c>
      <c r="E31" s="33" t="str">
        <f>IFERROR(IF(INDEX(Observaciones!E$3:E$147,MATCH(ROWS($A$3:A31),Observaciones!$N$3:$N$147,0))="","",INDEX(Observaciones!E$3:E$147,MATCH(ROWS($A$3:A31),Observaciones!$N$3:$N$147,0))),"")</f>
        <v/>
      </c>
      <c r="F31" s="30" t="str">
        <f>IFERROR(IF(INDEX(Observaciones!F$3:F$147,MATCH(ROWS($A$3:A31),Observaciones!$N$3:$N$147,0))="","",INDEX(Observaciones!F$3:F$147,MATCH(ROWS($A$3:A31),Observaciones!$N$3:$N$147,0))),"")</f>
        <v/>
      </c>
      <c r="G31" s="32" t="str">
        <f>IFERROR(IF(INDEX(Observaciones!I$3:I$147,MATCH(ROWS($A$3:A31),Observaciones!$N$3:$N$147,0))="","",INDEX(Observaciones!I$3:I$147,MATCH(ROWS($A$3:A31),Observaciones!$N$3:$N$147,0))),"")</f>
        <v/>
      </c>
      <c r="H31" s="33" t="str">
        <f>IFERROR(IF(INDEX(Observaciones!J$3:J$147,MATCH(ROWS($A$3:A31),Observaciones!$N$3:$N$147,0))="","",INDEX(Observaciones!J$3:J$147,MATCH(ROWS($A$3:A31),Observaciones!$N$3:$N$147,0))),"")</f>
        <v/>
      </c>
    </row>
    <row r="32" spans="1:8" s="10" customFormat="1" ht="28.95" customHeight="1" x14ac:dyDescent="0.3">
      <c r="A32" s="30" t="str">
        <f>IFERROR(IF(INDEX(Observaciones!A$3:A$147,MATCH(ROWS($A$3:A32),Observaciones!$N$3:$N$147,0))="","",INDEX(Observaciones!A$3:A$147,MATCH(ROWS($A$3:A32),Observaciones!$N$3:$N$147,0))),"")</f>
        <v/>
      </c>
      <c r="B32" s="31" t="str">
        <f>IFERROR(IF(INDEX(Observaciones!C$3:C$147,MATCH(ROWS($A$3:A32),Observaciones!$N$3:$N$147,0))="","",INDEX(Observaciones!C$3:C$147,MATCH(ROWS($A$3:A32),Observaciones!$N$3:$N$147,0))),"")</f>
        <v/>
      </c>
      <c r="C32" s="32" t="str">
        <f>IFERROR(IF(INDEX(Observaciones!B$3:B$147,MATCH(ROWS($A$3:A32),Observaciones!$N$3:$N$147,0))="","",INDEX(Observaciones!B$3:B$147,MATCH(ROWS($A$3:A32),Observaciones!$N$3:$N$147,0))),"")</f>
        <v/>
      </c>
      <c r="D32" s="30" t="str">
        <f>IFERROR(IF(INDEX(Observaciones!D$3:D$147,MATCH(ROWS($A$3:A32),Observaciones!$N$3:$N$147,0))="","",INDEX(Observaciones!D$3:D$147,MATCH(ROWS($A$3:A32),Observaciones!$N$3:$N$147,0))),"")</f>
        <v/>
      </c>
      <c r="E32" s="33" t="str">
        <f>IFERROR(IF(INDEX(Observaciones!E$3:E$147,MATCH(ROWS($A$3:A32),Observaciones!$N$3:$N$147,0))="","",INDEX(Observaciones!E$3:E$147,MATCH(ROWS($A$3:A32),Observaciones!$N$3:$N$147,0))),"")</f>
        <v/>
      </c>
      <c r="F32" s="30" t="str">
        <f>IFERROR(IF(INDEX(Observaciones!F$3:F$147,MATCH(ROWS($A$3:A32),Observaciones!$N$3:$N$147,0))="","",INDEX(Observaciones!F$3:F$147,MATCH(ROWS($A$3:A32),Observaciones!$N$3:$N$147,0))),"")</f>
        <v/>
      </c>
      <c r="G32" s="32" t="str">
        <f>IFERROR(IF(INDEX(Observaciones!I$3:I$147,MATCH(ROWS($A$3:A32),Observaciones!$N$3:$N$147,0))="","",INDEX(Observaciones!I$3:I$147,MATCH(ROWS($A$3:A32),Observaciones!$N$3:$N$147,0))),"")</f>
        <v/>
      </c>
      <c r="H32" s="33" t="str">
        <f>IFERROR(IF(INDEX(Observaciones!J$3:J$147,MATCH(ROWS($A$3:A32),Observaciones!$N$3:$N$147,0))="","",INDEX(Observaciones!J$3:J$147,MATCH(ROWS($A$3:A32),Observaciones!$N$3:$N$147,0))),"")</f>
        <v/>
      </c>
    </row>
    <row r="33" spans="1:8" s="10" customFormat="1" ht="28.95" customHeight="1" x14ac:dyDescent="0.3">
      <c r="A33" s="30" t="str">
        <f>IFERROR(IF(INDEX(Observaciones!A$3:A$147,MATCH(ROWS($A$3:A33),Observaciones!$N$3:$N$147,0))="","",INDEX(Observaciones!A$3:A$147,MATCH(ROWS($A$3:A33),Observaciones!$N$3:$N$147,0))),"")</f>
        <v/>
      </c>
      <c r="B33" s="31" t="str">
        <f>IFERROR(IF(INDEX(Observaciones!C$3:C$147,MATCH(ROWS($A$3:A33),Observaciones!$N$3:$N$147,0))="","",INDEX(Observaciones!C$3:C$147,MATCH(ROWS($A$3:A33),Observaciones!$N$3:$N$147,0))),"")</f>
        <v/>
      </c>
      <c r="C33" s="32" t="str">
        <f>IFERROR(IF(INDEX(Observaciones!B$3:B$147,MATCH(ROWS($A$3:A33),Observaciones!$N$3:$N$147,0))="","",INDEX(Observaciones!B$3:B$147,MATCH(ROWS($A$3:A33),Observaciones!$N$3:$N$147,0))),"")</f>
        <v/>
      </c>
      <c r="D33" s="30" t="str">
        <f>IFERROR(IF(INDEX(Observaciones!D$3:D$147,MATCH(ROWS($A$3:A33),Observaciones!$N$3:$N$147,0))="","",INDEX(Observaciones!D$3:D$147,MATCH(ROWS($A$3:A33),Observaciones!$N$3:$N$147,0))),"")</f>
        <v/>
      </c>
      <c r="E33" s="33" t="str">
        <f>IFERROR(IF(INDEX(Observaciones!E$3:E$147,MATCH(ROWS($A$3:A33),Observaciones!$N$3:$N$147,0))="","",INDEX(Observaciones!E$3:E$147,MATCH(ROWS($A$3:A33),Observaciones!$N$3:$N$147,0))),"")</f>
        <v/>
      </c>
      <c r="F33" s="30" t="str">
        <f>IFERROR(IF(INDEX(Observaciones!F$3:F$147,MATCH(ROWS($A$3:A33),Observaciones!$N$3:$N$147,0))="","",INDEX(Observaciones!F$3:F$147,MATCH(ROWS($A$3:A33),Observaciones!$N$3:$N$147,0))),"")</f>
        <v/>
      </c>
      <c r="G33" s="32" t="str">
        <f>IFERROR(IF(INDEX(Observaciones!I$3:I$147,MATCH(ROWS($A$3:A33),Observaciones!$N$3:$N$147,0))="","",INDEX(Observaciones!I$3:I$147,MATCH(ROWS($A$3:A33),Observaciones!$N$3:$N$147,0))),"")</f>
        <v/>
      </c>
      <c r="H33" s="33" t="str">
        <f>IFERROR(IF(INDEX(Observaciones!J$3:J$147,MATCH(ROWS($A$3:A33),Observaciones!$N$3:$N$147,0))="","",INDEX(Observaciones!J$3:J$147,MATCH(ROWS($A$3:A33),Observaciones!$N$3:$N$147,0))),"")</f>
        <v/>
      </c>
    </row>
    <row r="34" spans="1:8" s="10" customFormat="1" ht="28.95" customHeight="1" x14ac:dyDescent="0.3">
      <c r="A34" s="30" t="str">
        <f>IFERROR(IF(INDEX(Observaciones!A$3:A$147,MATCH(ROWS($A$3:A34),Observaciones!$N$3:$N$147,0))="","",INDEX(Observaciones!A$3:A$147,MATCH(ROWS($A$3:A34),Observaciones!$N$3:$N$147,0))),"")</f>
        <v/>
      </c>
      <c r="B34" s="31" t="str">
        <f>IFERROR(IF(INDEX(Observaciones!C$3:C$147,MATCH(ROWS($A$3:A34),Observaciones!$N$3:$N$147,0))="","",INDEX(Observaciones!C$3:C$147,MATCH(ROWS($A$3:A34),Observaciones!$N$3:$N$147,0))),"")</f>
        <v/>
      </c>
      <c r="C34" s="32" t="str">
        <f>IFERROR(IF(INDEX(Observaciones!B$3:B$147,MATCH(ROWS($A$3:A34),Observaciones!$N$3:$N$147,0))="","",INDEX(Observaciones!B$3:B$147,MATCH(ROWS($A$3:A34),Observaciones!$N$3:$N$147,0))),"")</f>
        <v/>
      </c>
      <c r="D34" s="30" t="str">
        <f>IFERROR(IF(INDEX(Observaciones!D$3:D$147,MATCH(ROWS($A$3:A34),Observaciones!$N$3:$N$147,0))="","",INDEX(Observaciones!D$3:D$147,MATCH(ROWS($A$3:A34),Observaciones!$N$3:$N$147,0))),"")</f>
        <v/>
      </c>
      <c r="E34" s="33" t="str">
        <f>IFERROR(IF(INDEX(Observaciones!E$3:E$147,MATCH(ROWS($A$3:A34),Observaciones!$N$3:$N$147,0))="","",INDEX(Observaciones!E$3:E$147,MATCH(ROWS($A$3:A34),Observaciones!$N$3:$N$147,0))),"")</f>
        <v/>
      </c>
      <c r="F34" s="30" t="str">
        <f>IFERROR(IF(INDEX(Observaciones!F$3:F$147,MATCH(ROWS($A$3:A34),Observaciones!$N$3:$N$147,0))="","",INDEX(Observaciones!F$3:F$147,MATCH(ROWS($A$3:A34),Observaciones!$N$3:$N$147,0))),"")</f>
        <v/>
      </c>
      <c r="G34" s="32" t="str">
        <f>IFERROR(IF(INDEX(Observaciones!I$3:I$147,MATCH(ROWS($A$3:A34),Observaciones!$N$3:$N$147,0))="","",INDEX(Observaciones!I$3:I$147,MATCH(ROWS($A$3:A34),Observaciones!$N$3:$N$147,0))),"")</f>
        <v/>
      </c>
      <c r="H34" s="33" t="str">
        <f>IFERROR(IF(INDEX(Observaciones!J$3:J$147,MATCH(ROWS($A$3:A34),Observaciones!$N$3:$N$147,0))="","",INDEX(Observaciones!J$3:J$147,MATCH(ROWS($A$3:A34),Observaciones!$N$3:$N$147,0))),"")</f>
        <v/>
      </c>
    </row>
    <row r="35" spans="1:8" s="10" customFormat="1" ht="28.95" customHeight="1" x14ac:dyDescent="0.3">
      <c r="A35" s="30" t="str">
        <f>IFERROR(IF(INDEX(Observaciones!A$3:A$147,MATCH(ROWS($A$3:A35),Observaciones!$N$3:$N$147,0))="","",INDEX(Observaciones!A$3:A$147,MATCH(ROWS($A$3:A35),Observaciones!$N$3:$N$147,0))),"")</f>
        <v/>
      </c>
      <c r="B35" s="31" t="str">
        <f>IFERROR(IF(INDEX(Observaciones!C$3:C$147,MATCH(ROWS($A$3:A35),Observaciones!$N$3:$N$147,0))="","",INDEX(Observaciones!C$3:C$147,MATCH(ROWS($A$3:A35),Observaciones!$N$3:$N$147,0))),"")</f>
        <v/>
      </c>
      <c r="C35" s="32" t="str">
        <f>IFERROR(IF(INDEX(Observaciones!B$3:B$147,MATCH(ROWS($A$3:A35),Observaciones!$N$3:$N$147,0))="","",INDEX(Observaciones!B$3:B$147,MATCH(ROWS($A$3:A35),Observaciones!$N$3:$N$147,0))),"")</f>
        <v/>
      </c>
      <c r="D35" s="30" t="str">
        <f>IFERROR(IF(INDEX(Observaciones!D$3:D$147,MATCH(ROWS($A$3:A35),Observaciones!$N$3:$N$147,0))="","",INDEX(Observaciones!D$3:D$147,MATCH(ROWS($A$3:A35),Observaciones!$N$3:$N$147,0))),"")</f>
        <v/>
      </c>
      <c r="E35" s="33" t="str">
        <f>IFERROR(IF(INDEX(Observaciones!E$3:E$147,MATCH(ROWS($A$3:A35),Observaciones!$N$3:$N$147,0))="","",INDEX(Observaciones!E$3:E$147,MATCH(ROWS($A$3:A35),Observaciones!$N$3:$N$147,0))),"")</f>
        <v/>
      </c>
      <c r="F35" s="30" t="str">
        <f>IFERROR(IF(INDEX(Observaciones!F$3:F$147,MATCH(ROWS($A$3:A35),Observaciones!$N$3:$N$147,0))="","",INDEX(Observaciones!F$3:F$147,MATCH(ROWS($A$3:A35),Observaciones!$N$3:$N$147,0))),"")</f>
        <v/>
      </c>
      <c r="G35" s="32" t="str">
        <f>IFERROR(IF(INDEX(Observaciones!I$3:I$147,MATCH(ROWS($A$3:A35),Observaciones!$N$3:$N$147,0))="","",INDEX(Observaciones!I$3:I$147,MATCH(ROWS($A$3:A35),Observaciones!$N$3:$N$147,0))),"")</f>
        <v/>
      </c>
      <c r="H35" s="33" t="str">
        <f>IFERROR(IF(INDEX(Observaciones!J$3:J$147,MATCH(ROWS($A$3:A35),Observaciones!$N$3:$N$147,0))="","",INDEX(Observaciones!J$3:J$147,MATCH(ROWS($A$3:A35),Observaciones!$N$3:$N$147,0))),"")</f>
        <v/>
      </c>
    </row>
    <row r="36" spans="1:8" s="10" customFormat="1" ht="28.95" customHeight="1" x14ac:dyDescent="0.3">
      <c r="A36" s="30" t="str">
        <f>IFERROR(IF(INDEX(Observaciones!A$3:A$147,MATCH(ROWS($A$3:A36),Observaciones!$N$3:$N$147,0))="","",INDEX(Observaciones!A$3:A$147,MATCH(ROWS($A$3:A36),Observaciones!$N$3:$N$147,0))),"")</f>
        <v/>
      </c>
      <c r="B36" s="31" t="str">
        <f>IFERROR(IF(INDEX(Observaciones!C$3:C$147,MATCH(ROWS($A$3:A36),Observaciones!$N$3:$N$147,0))="","",INDEX(Observaciones!C$3:C$147,MATCH(ROWS($A$3:A36),Observaciones!$N$3:$N$147,0))),"")</f>
        <v/>
      </c>
      <c r="C36" s="32" t="str">
        <f>IFERROR(IF(INDEX(Observaciones!B$3:B$147,MATCH(ROWS($A$3:A36),Observaciones!$N$3:$N$147,0))="","",INDEX(Observaciones!B$3:B$147,MATCH(ROWS($A$3:A36),Observaciones!$N$3:$N$147,0))),"")</f>
        <v/>
      </c>
      <c r="D36" s="30" t="str">
        <f>IFERROR(IF(INDEX(Observaciones!D$3:D$147,MATCH(ROWS($A$3:A36),Observaciones!$N$3:$N$147,0))="","",INDEX(Observaciones!D$3:D$147,MATCH(ROWS($A$3:A36),Observaciones!$N$3:$N$147,0))),"")</f>
        <v/>
      </c>
      <c r="E36" s="33" t="str">
        <f>IFERROR(IF(INDEX(Observaciones!E$3:E$147,MATCH(ROWS($A$3:A36),Observaciones!$N$3:$N$147,0))="","",INDEX(Observaciones!E$3:E$147,MATCH(ROWS($A$3:A36),Observaciones!$N$3:$N$147,0))),"")</f>
        <v/>
      </c>
      <c r="F36" s="30" t="str">
        <f>IFERROR(IF(INDEX(Observaciones!F$3:F$147,MATCH(ROWS($A$3:A36),Observaciones!$N$3:$N$147,0))="","",INDEX(Observaciones!F$3:F$147,MATCH(ROWS($A$3:A36),Observaciones!$N$3:$N$147,0))),"")</f>
        <v/>
      </c>
      <c r="G36" s="32" t="str">
        <f>IFERROR(IF(INDEX(Observaciones!I$3:I$147,MATCH(ROWS($A$3:A36),Observaciones!$N$3:$N$147,0))="","",INDEX(Observaciones!I$3:I$147,MATCH(ROWS($A$3:A36),Observaciones!$N$3:$N$147,0))),"")</f>
        <v/>
      </c>
      <c r="H36" s="33" t="str">
        <f>IFERROR(IF(INDEX(Observaciones!J$3:J$147,MATCH(ROWS($A$3:A36),Observaciones!$N$3:$N$147,0))="","",INDEX(Observaciones!J$3:J$147,MATCH(ROWS($A$3:A36),Observaciones!$N$3:$N$147,0))),"")</f>
        <v/>
      </c>
    </row>
    <row r="37" spans="1:8" s="10" customFormat="1" ht="28.95" customHeight="1" x14ac:dyDescent="0.3">
      <c r="A37" s="30" t="str">
        <f>IFERROR(IF(INDEX(Observaciones!A$3:A$147,MATCH(ROWS($A$3:A37),Observaciones!$N$3:$N$147,0))="","",INDEX(Observaciones!A$3:A$147,MATCH(ROWS($A$3:A37),Observaciones!$N$3:$N$147,0))),"")</f>
        <v/>
      </c>
      <c r="B37" s="31" t="str">
        <f>IFERROR(IF(INDEX(Observaciones!C$3:C$147,MATCH(ROWS($A$3:A37),Observaciones!$N$3:$N$147,0))="","",INDEX(Observaciones!C$3:C$147,MATCH(ROWS($A$3:A37),Observaciones!$N$3:$N$147,0))),"")</f>
        <v/>
      </c>
      <c r="C37" s="32" t="str">
        <f>IFERROR(IF(INDEX(Observaciones!B$3:B$147,MATCH(ROWS($A$3:A37),Observaciones!$N$3:$N$147,0))="","",INDEX(Observaciones!B$3:B$147,MATCH(ROWS($A$3:A37),Observaciones!$N$3:$N$147,0))),"")</f>
        <v/>
      </c>
      <c r="D37" s="30" t="str">
        <f>IFERROR(IF(INDEX(Observaciones!D$3:D$147,MATCH(ROWS($A$3:A37),Observaciones!$N$3:$N$147,0))="","",INDEX(Observaciones!D$3:D$147,MATCH(ROWS($A$3:A37),Observaciones!$N$3:$N$147,0))),"")</f>
        <v/>
      </c>
      <c r="E37" s="33" t="str">
        <f>IFERROR(IF(INDEX(Observaciones!E$3:E$147,MATCH(ROWS($A$3:A37),Observaciones!$N$3:$N$147,0))="","",INDEX(Observaciones!E$3:E$147,MATCH(ROWS($A$3:A37),Observaciones!$N$3:$N$147,0))),"")</f>
        <v/>
      </c>
      <c r="F37" s="30" t="str">
        <f>IFERROR(IF(INDEX(Observaciones!F$3:F$147,MATCH(ROWS($A$3:A37),Observaciones!$N$3:$N$147,0))="","",INDEX(Observaciones!F$3:F$147,MATCH(ROWS($A$3:A37),Observaciones!$N$3:$N$147,0))),"")</f>
        <v/>
      </c>
      <c r="G37" s="32" t="str">
        <f>IFERROR(IF(INDEX(Observaciones!I$3:I$147,MATCH(ROWS($A$3:A37),Observaciones!$N$3:$N$147,0))="","",INDEX(Observaciones!I$3:I$147,MATCH(ROWS($A$3:A37),Observaciones!$N$3:$N$147,0))),"")</f>
        <v/>
      </c>
      <c r="H37" s="33" t="str">
        <f>IFERROR(IF(INDEX(Observaciones!J$3:J$147,MATCH(ROWS($A$3:A37),Observaciones!$N$3:$N$147,0))="","",INDEX(Observaciones!J$3:J$147,MATCH(ROWS($A$3:A37),Observaciones!$N$3:$N$147,0))),"")</f>
        <v/>
      </c>
    </row>
    <row r="38" spans="1:8" s="10" customFormat="1" ht="28.95" customHeight="1" x14ac:dyDescent="0.3">
      <c r="A38" s="30" t="str">
        <f>IFERROR(IF(INDEX(Observaciones!A$3:A$147,MATCH(ROWS($A$3:A38),Observaciones!$N$3:$N$147,0))="","",INDEX(Observaciones!A$3:A$147,MATCH(ROWS($A$3:A38),Observaciones!$N$3:$N$147,0))),"")</f>
        <v/>
      </c>
      <c r="B38" s="31" t="str">
        <f>IFERROR(IF(INDEX(Observaciones!C$3:C$147,MATCH(ROWS($A$3:A38),Observaciones!$N$3:$N$147,0))="","",INDEX(Observaciones!C$3:C$147,MATCH(ROWS($A$3:A38),Observaciones!$N$3:$N$147,0))),"")</f>
        <v/>
      </c>
      <c r="C38" s="32" t="str">
        <f>IFERROR(IF(INDEX(Observaciones!B$3:B$147,MATCH(ROWS($A$3:A38),Observaciones!$N$3:$N$147,0))="","",INDEX(Observaciones!B$3:B$147,MATCH(ROWS($A$3:A38),Observaciones!$N$3:$N$147,0))),"")</f>
        <v/>
      </c>
      <c r="D38" s="30" t="str">
        <f>IFERROR(IF(INDEX(Observaciones!D$3:D$147,MATCH(ROWS($A$3:A38),Observaciones!$N$3:$N$147,0))="","",INDEX(Observaciones!D$3:D$147,MATCH(ROWS($A$3:A38),Observaciones!$N$3:$N$147,0))),"")</f>
        <v/>
      </c>
      <c r="E38" s="33" t="str">
        <f>IFERROR(IF(INDEX(Observaciones!E$3:E$147,MATCH(ROWS($A$3:A38),Observaciones!$N$3:$N$147,0))="","",INDEX(Observaciones!E$3:E$147,MATCH(ROWS($A$3:A38),Observaciones!$N$3:$N$147,0))),"")</f>
        <v/>
      </c>
      <c r="F38" s="30" t="str">
        <f>IFERROR(IF(INDEX(Observaciones!F$3:F$147,MATCH(ROWS($A$3:A38),Observaciones!$N$3:$N$147,0))="","",INDEX(Observaciones!F$3:F$147,MATCH(ROWS($A$3:A38),Observaciones!$N$3:$N$147,0))),"")</f>
        <v/>
      </c>
      <c r="G38" s="32" t="str">
        <f>IFERROR(IF(INDEX(Observaciones!I$3:I$147,MATCH(ROWS($A$3:A38),Observaciones!$N$3:$N$147,0))="","",INDEX(Observaciones!I$3:I$147,MATCH(ROWS($A$3:A38),Observaciones!$N$3:$N$147,0))),"")</f>
        <v/>
      </c>
      <c r="H38" s="33" t="str">
        <f>IFERROR(IF(INDEX(Observaciones!J$3:J$147,MATCH(ROWS($A$3:A38),Observaciones!$N$3:$N$147,0))="","",INDEX(Observaciones!J$3:J$147,MATCH(ROWS($A$3:A38),Observaciones!$N$3:$N$147,0))),"")</f>
        <v/>
      </c>
    </row>
    <row r="39" spans="1:8" s="10" customFormat="1" ht="28.95" customHeight="1" x14ac:dyDescent="0.3">
      <c r="A39" s="30" t="str">
        <f>IFERROR(IF(INDEX(Observaciones!A$3:A$147,MATCH(ROWS($A$3:A39),Observaciones!$N$3:$N$147,0))="","",INDEX(Observaciones!A$3:A$147,MATCH(ROWS($A$3:A39),Observaciones!$N$3:$N$147,0))),"")</f>
        <v/>
      </c>
      <c r="B39" s="31" t="str">
        <f>IFERROR(IF(INDEX(Observaciones!C$3:C$147,MATCH(ROWS($A$3:A39),Observaciones!$N$3:$N$147,0))="","",INDEX(Observaciones!C$3:C$147,MATCH(ROWS($A$3:A39),Observaciones!$N$3:$N$147,0))),"")</f>
        <v/>
      </c>
      <c r="C39" s="32" t="str">
        <f>IFERROR(IF(INDEX(Observaciones!B$3:B$147,MATCH(ROWS($A$3:A39),Observaciones!$N$3:$N$147,0))="","",INDEX(Observaciones!B$3:B$147,MATCH(ROWS($A$3:A39),Observaciones!$N$3:$N$147,0))),"")</f>
        <v/>
      </c>
      <c r="D39" s="30" t="str">
        <f>IFERROR(IF(INDEX(Observaciones!D$3:D$147,MATCH(ROWS($A$3:A39),Observaciones!$N$3:$N$147,0))="","",INDEX(Observaciones!D$3:D$147,MATCH(ROWS($A$3:A39),Observaciones!$N$3:$N$147,0))),"")</f>
        <v/>
      </c>
      <c r="E39" s="33" t="str">
        <f>IFERROR(IF(INDEX(Observaciones!E$3:E$147,MATCH(ROWS($A$3:A39),Observaciones!$N$3:$N$147,0))="","",INDEX(Observaciones!E$3:E$147,MATCH(ROWS($A$3:A39),Observaciones!$N$3:$N$147,0))),"")</f>
        <v/>
      </c>
      <c r="F39" s="30" t="str">
        <f>IFERROR(IF(INDEX(Observaciones!F$3:F$147,MATCH(ROWS($A$3:A39),Observaciones!$N$3:$N$147,0))="","",INDEX(Observaciones!F$3:F$147,MATCH(ROWS($A$3:A39),Observaciones!$N$3:$N$147,0))),"")</f>
        <v/>
      </c>
      <c r="G39" s="32" t="str">
        <f>IFERROR(IF(INDEX(Observaciones!I$3:I$147,MATCH(ROWS($A$3:A39),Observaciones!$N$3:$N$147,0))="","",INDEX(Observaciones!I$3:I$147,MATCH(ROWS($A$3:A39),Observaciones!$N$3:$N$147,0))),"")</f>
        <v/>
      </c>
      <c r="H39" s="33" t="str">
        <f>IFERROR(IF(INDEX(Observaciones!J$3:J$147,MATCH(ROWS($A$3:A39),Observaciones!$N$3:$N$147,0))="","",INDEX(Observaciones!J$3:J$147,MATCH(ROWS($A$3:A39),Observaciones!$N$3:$N$147,0))),"")</f>
        <v/>
      </c>
    </row>
    <row r="40" spans="1:8" s="10" customFormat="1" ht="28.95" customHeight="1" x14ac:dyDescent="0.3">
      <c r="A40" s="30" t="str">
        <f>IFERROR(IF(INDEX(Observaciones!A$3:A$147,MATCH(ROWS($A$3:A40),Observaciones!$N$3:$N$147,0))="","",INDEX(Observaciones!A$3:A$147,MATCH(ROWS($A$3:A40),Observaciones!$N$3:$N$147,0))),"")</f>
        <v/>
      </c>
      <c r="B40" s="31" t="str">
        <f>IFERROR(IF(INDEX(Observaciones!C$3:C$147,MATCH(ROWS($A$3:A40),Observaciones!$N$3:$N$147,0))="","",INDEX(Observaciones!C$3:C$147,MATCH(ROWS($A$3:A40),Observaciones!$N$3:$N$147,0))),"")</f>
        <v/>
      </c>
      <c r="C40" s="32" t="str">
        <f>IFERROR(IF(INDEX(Observaciones!B$3:B$147,MATCH(ROWS($A$3:A40),Observaciones!$N$3:$N$147,0))="","",INDEX(Observaciones!B$3:B$147,MATCH(ROWS($A$3:A40),Observaciones!$N$3:$N$147,0))),"")</f>
        <v/>
      </c>
      <c r="D40" s="30" t="str">
        <f>IFERROR(IF(INDEX(Observaciones!D$3:D$147,MATCH(ROWS($A$3:A40),Observaciones!$N$3:$N$147,0))="","",INDEX(Observaciones!D$3:D$147,MATCH(ROWS($A$3:A40),Observaciones!$N$3:$N$147,0))),"")</f>
        <v/>
      </c>
      <c r="E40" s="33" t="str">
        <f>IFERROR(IF(INDEX(Observaciones!E$3:E$147,MATCH(ROWS($A$3:A40),Observaciones!$N$3:$N$147,0))="","",INDEX(Observaciones!E$3:E$147,MATCH(ROWS($A$3:A40),Observaciones!$N$3:$N$147,0))),"")</f>
        <v/>
      </c>
      <c r="F40" s="30" t="str">
        <f>IFERROR(IF(INDEX(Observaciones!F$3:F$147,MATCH(ROWS($A$3:A40),Observaciones!$N$3:$N$147,0))="","",INDEX(Observaciones!F$3:F$147,MATCH(ROWS($A$3:A40),Observaciones!$N$3:$N$147,0))),"")</f>
        <v/>
      </c>
      <c r="G40" s="32" t="str">
        <f>IFERROR(IF(INDEX(Observaciones!I$3:I$147,MATCH(ROWS($A$3:A40),Observaciones!$N$3:$N$147,0))="","",INDEX(Observaciones!I$3:I$147,MATCH(ROWS($A$3:A40),Observaciones!$N$3:$N$147,0))),"")</f>
        <v/>
      </c>
      <c r="H40" s="33" t="str">
        <f>IFERROR(IF(INDEX(Observaciones!J$3:J$147,MATCH(ROWS($A$3:A40),Observaciones!$N$3:$N$147,0))="","",INDEX(Observaciones!J$3:J$147,MATCH(ROWS($A$3:A40),Observaciones!$N$3:$N$147,0))),"")</f>
        <v/>
      </c>
    </row>
    <row r="41" spans="1:8" s="10" customFormat="1" ht="28.95" customHeight="1" x14ac:dyDescent="0.3">
      <c r="A41" s="30" t="str">
        <f>IFERROR(IF(INDEX(Observaciones!A$3:A$147,MATCH(ROWS($A$3:A41),Observaciones!$N$3:$N$147,0))="","",INDEX(Observaciones!A$3:A$147,MATCH(ROWS($A$3:A41),Observaciones!$N$3:$N$147,0))),"")</f>
        <v/>
      </c>
      <c r="B41" s="31" t="str">
        <f>IFERROR(IF(INDEX(Observaciones!C$3:C$147,MATCH(ROWS($A$3:A41),Observaciones!$N$3:$N$147,0))="","",INDEX(Observaciones!C$3:C$147,MATCH(ROWS($A$3:A41),Observaciones!$N$3:$N$147,0))),"")</f>
        <v/>
      </c>
      <c r="C41" s="32" t="str">
        <f>IFERROR(IF(INDEX(Observaciones!B$3:B$147,MATCH(ROWS($A$3:A41),Observaciones!$N$3:$N$147,0))="","",INDEX(Observaciones!B$3:B$147,MATCH(ROWS($A$3:A41),Observaciones!$N$3:$N$147,0))),"")</f>
        <v/>
      </c>
      <c r="D41" s="30" t="str">
        <f>IFERROR(IF(INDEX(Observaciones!D$3:D$147,MATCH(ROWS($A$3:A41),Observaciones!$N$3:$N$147,0))="","",INDEX(Observaciones!D$3:D$147,MATCH(ROWS($A$3:A41),Observaciones!$N$3:$N$147,0))),"")</f>
        <v/>
      </c>
      <c r="E41" s="33" t="str">
        <f>IFERROR(IF(INDEX(Observaciones!E$3:E$147,MATCH(ROWS($A$3:A41),Observaciones!$N$3:$N$147,0))="","",INDEX(Observaciones!E$3:E$147,MATCH(ROWS($A$3:A41),Observaciones!$N$3:$N$147,0))),"")</f>
        <v/>
      </c>
      <c r="F41" s="30" t="str">
        <f>IFERROR(IF(INDEX(Observaciones!F$3:F$147,MATCH(ROWS($A$3:A41),Observaciones!$N$3:$N$147,0))="","",INDEX(Observaciones!F$3:F$147,MATCH(ROWS($A$3:A41),Observaciones!$N$3:$N$147,0))),"")</f>
        <v/>
      </c>
      <c r="G41" s="32" t="str">
        <f>IFERROR(IF(INDEX(Observaciones!I$3:I$147,MATCH(ROWS($A$3:A41),Observaciones!$N$3:$N$147,0))="","",INDEX(Observaciones!I$3:I$147,MATCH(ROWS($A$3:A41),Observaciones!$N$3:$N$147,0))),"")</f>
        <v/>
      </c>
      <c r="H41" s="33" t="str">
        <f>IFERROR(IF(INDEX(Observaciones!J$3:J$147,MATCH(ROWS($A$3:A41),Observaciones!$N$3:$N$147,0))="","",INDEX(Observaciones!J$3:J$147,MATCH(ROWS($A$3:A41),Observaciones!$N$3:$N$147,0))),"")</f>
        <v/>
      </c>
    </row>
    <row r="42" spans="1:8" s="10" customFormat="1" ht="28.95" customHeight="1" x14ac:dyDescent="0.3">
      <c r="A42" s="30" t="str">
        <f>IFERROR(IF(INDEX(Observaciones!A$3:A$147,MATCH(ROWS($A$3:A42),Observaciones!$N$3:$N$147,0))="","",INDEX(Observaciones!A$3:A$147,MATCH(ROWS($A$3:A42),Observaciones!$N$3:$N$147,0))),"")</f>
        <v/>
      </c>
      <c r="B42" s="31" t="str">
        <f>IFERROR(IF(INDEX(Observaciones!C$3:C$147,MATCH(ROWS($A$3:A42),Observaciones!$N$3:$N$147,0))="","",INDEX(Observaciones!C$3:C$147,MATCH(ROWS($A$3:A42),Observaciones!$N$3:$N$147,0))),"")</f>
        <v/>
      </c>
      <c r="C42" s="32" t="str">
        <f>IFERROR(IF(INDEX(Observaciones!B$3:B$147,MATCH(ROWS($A$3:A42),Observaciones!$N$3:$N$147,0))="","",INDEX(Observaciones!B$3:B$147,MATCH(ROWS($A$3:A42),Observaciones!$N$3:$N$147,0))),"")</f>
        <v/>
      </c>
      <c r="D42" s="30" t="str">
        <f>IFERROR(IF(INDEX(Observaciones!D$3:D$147,MATCH(ROWS($A$3:A42),Observaciones!$N$3:$N$147,0))="","",INDEX(Observaciones!D$3:D$147,MATCH(ROWS($A$3:A42),Observaciones!$N$3:$N$147,0))),"")</f>
        <v/>
      </c>
      <c r="E42" s="33" t="str">
        <f>IFERROR(IF(INDEX(Observaciones!E$3:E$147,MATCH(ROWS($A$3:A42),Observaciones!$N$3:$N$147,0))="","",INDEX(Observaciones!E$3:E$147,MATCH(ROWS($A$3:A42),Observaciones!$N$3:$N$147,0))),"")</f>
        <v/>
      </c>
      <c r="F42" s="30" t="str">
        <f>IFERROR(IF(INDEX(Observaciones!F$3:F$147,MATCH(ROWS($A$3:A42),Observaciones!$N$3:$N$147,0))="","",INDEX(Observaciones!F$3:F$147,MATCH(ROWS($A$3:A42),Observaciones!$N$3:$N$147,0))),"")</f>
        <v/>
      </c>
      <c r="G42" s="32" t="str">
        <f>IFERROR(IF(INDEX(Observaciones!I$3:I$147,MATCH(ROWS($A$3:A42),Observaciones!$N$3:$N$147,0))="","",INDEX(Observaciones!I$3:I$147,MATCH(ROWS($A$3:A42),Observaciones!$N$3:$N$147,0))),"")</f>
        <v/>
      </c>
      <c r="H42" s="33" t="str">
        <f>IFERROR(IF(INDEX(Observaciones!J$3:J$147,MATCH(ROWS($A$3:A42),Observaciones!$N$3:$N$147,0))="","",INDEX(Observaciones!J$3:J$147,MATCH(ROWS($A$3:A42),Observaciones!$N$3:$N$147,0))),"")</f>
        <v/>
      </c>
    </row>
    <row r="43" spans="1:8" s="10" customFormat="1" ht="28.95" customHeight="1" x14ac:dyDescent="0.3">
      <c r="A43" s="30" t="str">
        <f>IFERROR(IF(INDEX(Observaciones!A$3:A$147,MATCH(ROWS($A$3:A43),Observaciones!$N$3:$N$147,0))="","",INDEX(Observaciones!A$3:A$147,MATCH(ROWS($A$3:A43),Observaciones!$N$3:$N$147,0))),"")</f>
        <v/>
      </c>
      <c r="B43" s="31" t="str">
        <f>IFERROR(IF(INDEX(Observaciones!C$3:C$147,MATCH(ROWS($A$3:A43),Observaciones!$N$3:$N$147,0))="","",INDEX(Observaciones!C$3:C$147,MATCH(ROWS($A$3:A43),Observaciones!$N$3:$N$147,0))),"")</f>
        <v/>
      </c>
      <c r="C43" s="32" t="str">
        <f>IFERROR(IF(INDEX(Observaciones!B$3:B$147,MATCH(ROWS($A$3:A43),Observaciones!$N$3:$N$147,0))="","",INDEX(Observaciones!B$3:B$147,MATCH(ROWS($A$3:A43),Observaciones!$N$3:$N$147,0))),"")</f>
        <v/>
      </c>
      <c r="D43" s="30" t="str">
        <f>IFERROR(IF(INDEX(Observaciones!D$3:D$147,MATCH(ROWS($A$3:A43),Observaciones!$N$3:$N$147,0))="","",INDEX(Observaciones!D$3:D$147,MATCH(ROWS($A$3:A43),Observaciones!$N$3:$N$147,0))),"")</f>
        <v/>
      </c>
      <c r="E43" s="33" t="str">
        <f>IFERROR(IF(INDEX(Observaciones!E$3:E$147,MATCH(ROWS($A$3:A43),Observaciones!$N$3:$N$147,0))="","",INDEX(Observaciones!E$3:E$147,MATCH(ROWS($A$3:A43),Observaciones!$N$3:$N$147,0))),"")</f>
        <v/>
      </c>
      <c r="F43" s="30" t="str">
        <f>IFERROR(IF(INDEX(Observaciones!F$3:F$147,MATCH(ROWS($A$3:A43),Observaciones!$N$3:$N$147,0))="","",INDEX(Observaciones!F$3:F$147,MATCH(ROWS($A$3:A43),Observaciones!$N$3:$N$147,0))),"")</f>
        <v/>
      </c>
      <c r="G43" s="32" t="str">
        <f>IFERROR(IF(INDEX(Observaciones!I$3:I$147,MATCH(ROWS($A$3:A43),Observaciones!$N$3:$N$147,0))="","",INDEX(Observaciones!I$3:I$147,MATCH(ROWS($A$3:A43),Observaciones!$N$3:$N$147,0))),"")</f>
        <v/>
      </c>
      <c r="H43" s="33" t="str">
        <f>IFERROR(IF(INDEX(Observaciones!J$3:J$147,MATCH(ROWS($A$3:A43),Observaciones!$N$3:$N$147,0))="","",INDEX(Observaciones!J$3:J$147,MATCH(ROWS($A$3:A43),Observaciones!$N$3:$N$147,0))),"")</f>
        <v/>
      </c>
    </row>
    <row r="44" spans="1:8" s="10" customFormat="1" ht="28.95" customHeight="1" x14ac:dyDescent="0.3">
      <c r="A44" s="30" t="str">
        <f>IFERROR(IF(INDEX(Observaciones!A$3:A$147,MATCH(ROWS($A$3:A44),Observaciones!$N$3:$N$147,0))="","",INDEX(Observaciones!A$3:A$147,MATCH(ROWS($A$3:A44),Observaciones!$N$3:$N$147,0))),"")</f>
        <v/>
      </c>
      <c r="B44" s="31" t="str">
        <f>IFERROR(IF(INDEX(Observaciones!C$3:C$147,MATCH(ROWS($A$3:A44),Observaciones!$N$3:$N$147,0))="","",INDEX(Observaciones!C$3:C$147,MATCH(ROWS($A$3:A44),Observaciones!$N$3:$N$147,0))),"")</f>
        <v/>
      </c>
      <c r="C44" s="32" t="str">
        <f>IFERROR(IF(INDEX(Observaciones!B$3:B$147,MATCH(ROWS($A$3:A44),Observaciones!$N$3:$N$147,0))="","",INDEX(Observaciones!B$3:B$147,MATCH(ROWS($A$3:A44),Observaciones!$N$3:$N$147,0))),"")</f>
        <v/>
      </c>
      <c r="D44" s="30" t="str">
        <f>IFERROR(IF(INDEX(Observaciones!D$3:D$147,MATCH(ROWS($A$3:A44),Observaciones!$N$3:$N$147,0))="","",INDEX(Observaciones!D$3:D$147,MATCH(ROWS($A$3:A44),Observaciones!$N$3:$N$147,0))),"")</f>
        <v/>
      </c>
      <c r="E44" s="33" t="str">
        <f>IFERROR(IF(INDEX(Observaciones!E$3:E$147,MATCH(ROWS($A$3:A44),Observaciones!$N$3:$N$147,0))="","",INDEX(Observaciones!E$3:E$147,MATCH(ROWS($A$3:A44),Observaciones!$N$3:$N$147,0))),"")</f>
        <v/>
      </c>
      <c r="F44" s="30" t="str">
        <f>IFERROR(IF(INDEX(Observaciones!F$3:F$147,MATCH(ROWS($A$3:A44),Observaciones!$N$3:$N$147,0))="","",INDEX(Observaciones!F$3:F$147,MATCH(ROWS($A$3:A44),Observaciones!$N$3:$N$147,0))),"")</f>
        <v/>
      </c>
      <c r="G44" s="32" t="str">
        <f>IFERROR(IF(INDEX(Observaciones!I$3:I$147,MATCH(ROWS($A$3:A44),Observaciones!$N$3:$N$147,0))="","",INDEX(Observaciones!I$3:I$147,MATCH(ROWS($A$3:A44),Observaciones!$N$3:$N$147,0))),"")</f>
        <v/>
      </c>
      <c r="H44" s="33" t="str">
        <f>IFERROR(IF(INDEX(Observaciones!J$3:J$147,MATCH(ROWS($A$3:A44),Observaciones!$N$3:$N$147,0))="","",INDEX(Observaciones!J$3:J$147,MATCH(ROWS($A$3:A44),Observaciones!$N$3:$N$147,0))),"")</f>
        <v/>
      </c>
    </row>
    <row r="45" spans="1:8" s="10" customFormat="1" ht="28.95" customHeight="1" x14ac:dyDescent="0.3">
      <c r="A45" s="30" t="str">
        <f>IFERROR(IF(INDEX(Observaciones!A$3:A$147,MATCH(ROWS($A$3:A45),Observaciones!$N$3:$N$147,0))="","",INDEX(Observaciones!A$3:A$147,MATCH(ROWS($A$3:A45),Observaciones!$N$3:$N$147,0))),"")</f>
        <v/>
      </c>
      <c r="B45" s="31" t="str">
        <f>IFERROR(IF(INDEX(Observaciones!C$3:C$147,MATCH(ROWS($A$3:A45),Observaciones!$N$3:$N$147,0))="","",INDEX(Observaciones!C$3:C$147,MATCH(ROWS($A$3:A45),Observaciones!$N$3:$N$147,0))),"")</f>
        <v/>
      </c>
      <c r="C45" s="32" t="str">
        <f>IFERROR(IF(INDEX(Observaciones!B$3:B$147,MATCH(ROWS($A$3:A45),Observaciones!$N$3:$N$147,0))="","",INDEX(Observaciones!B$3:B$147,MATCH(ROWS($A$3:A45),Observaciones!$N$3:$N$147,0))),"")</f>
        <v/>
      </c>
      <c r="D45" s="30" t="str">
        <f>IFERROR(IF(INDEX(Observaciones!D$3:D$147,MATCH(ROWS($A$3:A45),Observaciones!$N$3:$N$147,0))="","",INDEX(Observaciones!D$3:D$147,MATCH(ROWS($A$3:A45),Observaciones!$N$3:$N$147,0))),"")</f>
        <v/>
      </c>
      <c r="E45" s="33" t="str">
        <f>IFERROR(IF(INDEX(Observaciones!E$3:E$147,MATCH(ROWS($A$3:A45),Observaciones!$N$3:$N$147,0))="","",INDEX(Observaciones!E$3:E$147,MATCH(ROWS($A$3:A45),Observaciones!$N$3:$N$147,0))),"")</f>
        <v/>
      </c>
      <c r="F45" s="30" t="str">
        <f>IFERROR(IF(INDEX(Observaciones!F$3:F$147,MATCH(ROWS($A$3:A45),Observaciones!$N$3:$N$147,0))="","",INDEX(Observaciones!F$3:F$147,MATCH(ROWS($A$3:A45),Observaciones!$N$3:$N$147,0))),"")</f>
        <v/>
      </c>
      <c r="G45" s="32" t="str">
        <f>IFERROR(IF(INDEX(Observaciones!I$3:I$147,MATCH(ROWS($A$3:A45),Observaciones!$N$3:$N$147,0))="","",INDEX(Observaciones!I$3:I$147,MATCH(ROWS($A$3:A45),Observaciones!$N$3:$N$147,0))),"")</f>
        <v/>
      </c>
      <c r="H45" s="33" t="str">
        <f>IFERROR(IF(INDEX(Observaciones!J$3:J$147,MATCH(ROWS($A$3:A45),Observaciones!$N$3:$N$147,0))="","",INDEX(Observaciones!J$3:J$147,MATCH(ROWS($A$3:A45),Observaciones!$N$3:$N$147,0))),"")</f>
        <v/>
      </c>
    </row>
    <row r="46" spans="1:8" s="10" customFormat="1" ht="28.95" customHeight="1" x14ac:dyDescent="0.3">
      <c r="A46" s="30" t="str">
        <f>IFERROR(IF(INDEX(Observaciones!A$3:A$147,MATCH(ROWS($A$3:A46),Observaciones!$N$3:$N$147,0))="","",INDEX(Observaciones!A$3:A$147,MATCH(ROWS($A$3:A46),Observaciones!$N$3:$N$147,0))),"")</f>
        <v/>
      </c>
      <c r="B46" s="31" t="str">
        <f>IFERROR(IF(INDEX(Observaciones!C$3:C$147,MATCH(ROWS($A$3:A46),Observaciones!$N$3:$N$147,0))="","",INDEX(Observaciones!C$3:C$147,MATCH(ROWS($A$3:A46),Observaciones!$N$3:$N$147,0))),"")</f>
        <v/>
      </c>
      <c r="C46" s="32" t="str">
        <f>IFERROR(IF(INDEX(Observaciones!B$3:B$147,MATCH(ROWS($A$3:A46),Observaciones!$N$3:$N$147,0))="","",INDEX(Observaciones!B$3:B$147,MATCH(ROWS($A$3:A46),Observaciones!$N$3:$N$147,0))),"")</f>
        <v/>
      </c>
      <c r="D46" s="30" t="str">
        <f>IFERROR(IF(INDEX(Observaciones!D$3:D$147,MATCH(ROWS($A$3:A46),Observaciones!$N$3:$N$147,0))="","",INDEX(Observaciones!D$3:D$147,MATCH(ROWS($A$3:A46),Observaciones!$N$3:$N$147,0))),"")</f>
        <v/>
      </c>
      <c r="E46" s="33" t="str">
        <f>IFERROR(IF(INDEX(Observaciones!E$3:E$147,MATCH(ROWS($A$3:A46),Observaciones!$N$3:$N$147,0))="","",INDEX(Observaciones!E$3:E$147,MATCH(ROWS($A$3:A46),Observaciones!$N$3:$N$147,0))),"")</f>
        <v/>
      </c>
      <c r="F46" s="30" t="str">
        <f>IFERROR(IF(INDEX(Observaciones!F$3:F$147,MATCH(ROWS($A$3:A46),Observaciones!$N$3:$N$147,0))="","",INDEX(Observaciones!F$3:F$147,MATCH(ROWS($A$3:A46),Observaciones!$N$3:$N$147,0))),"")</f>
        <v/>
      </c>
      <c r="G46" s="32" t="str">
        <f>IFERROR(IF(INDEX(Observaciones!I$3:I$147,MATCH(ROWS($A$3:A46),Observaciones!$N$3:$N$147,0))="","",INDEX(Observaciones!I$3:I$147,MATCH(ROWS($A$3:A46),Observaciones!$N$3:$N$147,0))),"")</f>
        <v/>
      </c>
      <c r="H46" s="33" t="str">
        <f>IFERROR(IF(INDEX(Observaciones!J$3:J$147,MATCH(ROWS($A$3:A46),Observaciones!$N$3:$N$147,0))="","",INDEX(Observaciones!J$3:J$147,MATCH(ROWS($A$3:A46),Observaciones!$N$3:$N$147,0))),"")</f>
        <v/>
      </c>
    </row>
    <row r="47" spans="1:8" s="10" customFormat="1" ht="28.95" customHeight="1" x14ac:dyDescent="0.3">
      <c r="A47" s="30" t="str">
        <f>IFERROR(IF(INDEX(Observaciones!A$3:A$147,MATCH(ROWS($A$3:A47),Observaciones!$N$3:$N$147,0))="","",INDEX(Observaciones!A$3:A$147,MATCH(ROWS($A$3:A47),Observaciones!$N$3:$N$147,0))),"")</f>
        <v/>
      </c>
      <c r="B47" s="31" t="str">
        <f>IFERROR(IF(INDEX(Observaciones!C$3:C$147,MATCH(ROWS($A$3:A47),Observaciones!$N$3:$N$147,0))="","",INDEX(Observaciones!C$3:C$147,MATCH(ROWS($A$3:A47),Observaciones!$N$3:$N$147,0))),"")</f>
        <v/>
      </c>
      <c r="C47" s="32" t="str">
        <f>IFERROR(IF(INDEX(Observaciones!B$3:B$147,MATCH(ROWS($A$3:A47),Observaciones!$N$3:$N$147,0))="","",INDEX(Observaciones!B$3:B$147,MATCH(ROWS($A$3:A47),Observaciones!$N$3:$N$147,0))),"")</f>
        <v/>
      </c>
      <c r="D47" s="30" t="str">
        <f>IFERROR(IF(INDEX(Observaciones!D$3:D$147,MATCH(ROWS($A$3:A47),Observaciones!$N$3:$N$147,0))="","",INDEX(Observaciones!D$3:D$147,MATCH(ROWS($A$3:A47),Observaciones!$N$3:$N$147,0))),"")</f>
        <v/>
      </c>
      <c r="E47" s="33" t="str">
        <f>IFERROR(IF(INDEX(Observaciones!E$3:E$147,MATCH(ROWS($A$3:A47),Observaciones!$N$3:$N$147,0))="","",INDEX(Observaciones!E$3:E$147,MATCH(ROWS($A$3:A47),Observaciones!$N$3:$N$147,0))),"")</f>
        <v/>
      </c>
      <c r="F47" s="30" t="str">
        <f>IFERROR(IF(INDEX(Observaciones!F$3:F$147,MATCH(ROWS($A$3:A47),Observaciones!$N$3:$N$147,0))="","",INDEX(Observaciones!F$3:F$147,MATCH(ROWS($A$3:A47),Observaciones!$N$3:$N$147,0))),"")</f>
        <v/>
      </c>
      <c r="G47" s="32" t="str">
        <f>IFERROR(IF(INDEX(Observaciones!I$3:I$147,MATCH(ROWS($A$3:A47),Observaciones!$N$3:$N$147,0))="","",INDEX(Observaciones!I$3:I$147,MATCH(ROWS($A$3:A47),Observaciones!$N$3:$N$147,0))),"")</f>
        <v/>
      </c>
      <c r="H47" s="33" t="str">
        <f>IFERROR(IF(INDEX(Observaciones!J$3:J$147,MATCH(ROWS($A$3:A47),Observaciones!$N$3:$N$147,0))="","",INDEX(Observaciones!J$3:J$147,MATCH(ROWS($A$3:A47),Observaciones!$N$3:$N$147,0))),"")</f>
        <v/>
      </c>
    </row>
    <row r="48" spans="1:8" s="10" customFormat="1" ht="28.95" customHeight="1" x14ac:dyDescent="0.3">
      <c r="A48" s="30" t="str">
        <f>IFERROR(IF(INDEX(Observaciones!A$3:A$147,MATCH(ROWS($A$3:A48),Observaciones!$N$3:$N$147,0))="","",INDEX(Observaciones!A$3:A$147,MATCH(ROWS($A$3:A48),Observaciones!$N$3:$N$147,0))),"")</f>
        <v/>
      </c>
      <c r="B48" s="31" t="str">
        <f>IFERROR(IF(INDEX(Observaciones!C$3:C$147,MATCH(ROWS($A$3:A48),Observaciones!$N$3:$N$147,0))="","",INDEX(Observaciones!C$3:C$147,MATCH(ROWS($A$3:A48),Observaciones!$N$3:$N$147,0))),"")</f>
        <v/>
      </c>
      <c r="C48" s="32" t="str">
        <f>IFERROR(IF(INDEX(Observaciones!B$3:B$147,MATCH(ROWS($A$3:A48),Observaciones!$N$3:$N$147,0))="","",INDEX(Observaciones!B$3:B$147,MATCH(ROWS($A$3:A48),Observaciones!$N$3:$N$147,0))),"")</f>
        <v/>
      </c>
      <c r="D48" s="30" t="str">
        <f>IFERROR(IF(INDEX(Observaciones!D$3:D$147,MATCH(ROWS($A$3:A48),Observaciones!$N$3:$N$147,0))="","",INDEX(Observaciones!D$3:D$147,MATCH(ROWS($A$3:A48),Observaciones!$N$3:$N$147,0))),"")</f>
        <v/>
      </c>
      <c r="E48" s="33" t="str">
        <f>IFERROR(IF(INDEX(Observaciones!E$3:E$147,MATCH(ROWS($A$3:A48),Observaciones!$N$3:$N$147,0))="","",INDEX(Observaciones!E$3:E$147,MATCH(ROWS($A$3:A48),Observaciones!$N$3:$N$147,0))),"")</f>
        <v/>
      </c>
      <c r="F48" s="30" t="str">
        <f>IFERROR(IF(INDEX(Observaciones!F$3:F$147,MATCH(ROWS($A$3:A48),Observaciones!$N$3:$N$147,0))="","",INDEX(Observaciones!F$3:F$147,MATCH(ROWS($A$3:A48),Observaciones!$N$3:$N$147,0))),"")</f>
        <v/>
      </c>
      <c r="G48" s="32" t="str">
        <f>IFERROR(IF(INDEX(Observaciones!I$3:I$147,MATCH(ROWS($A$3:A48),Observaciones!$N$3:$N$147,0))="","",INDEX(Observaciones!I$3:I$147,MATCH(ROWS($A$3:A48),Observaciones!$N$3:$N$147,0))),"")</f>
        <v/>
      </c>
      <c r="H48" s="33" t="str">
        <f>IFERROR(IF(INDEX(Observaciones!J$3:J$147,MATCH(ROWS($A$3:A48),Observaciones!$N$3:$N$147,0))="","",INDEX(Observaciones!J$3:J$147,MATCH(ROWS($A$3:A48),Observaciones!$N$3:$N$147,0))),"")</f>
        <v/>
      </c>
    </row>
    <row r="49" spans="1:8" s="10" customFormat="1" ht="28.95" customHeight="1" x14ac:dyDescent="0.3">
      <c r="A49" s="30" t="str">
        <f>IFERROR(IF(INDEX(Observaciones!A$3:A$147,MATCH(ROWS($A$3:A49),Observaciones!$N$3:$N$147,0))="","",INDEX(Observaciones!A$3:A$147,MATCH(ROWS($A$3:A49),Observaciones!$N$3:$N$147,0))),"")</f>
        <v/>
      </c>
      <c r="B49" s="31" t="str">
        <f>IFERROR(IF(INDEX(Observaciones!C$3:C$147,MATCH(ROWS($A$3:A49),Observaciones!$N$3:$N$147,0))="","",INDEX(Observaciones!C$3:C$147,MATCH(ROWS($A$3:A49),Observaciones!$N$3:$N$147,0))),"")</f>
        <v/>
      </c>
      <c r="C49" s="32" t="str">
        <f>IFERROR(IF(INDEX(Observaciones!B$3:B$147,MATCH(ROWS($A$3:A49),Observaciones!$N$3:$N$147,0))="","",INDEX(Observaciones!B$3:B$147,MATCH(ROWS($A$3:A49),Observaciones!$N$3:$N$147,0))),"")</f>
        <v/>
      </c>
      <c r="D49" s="30" t="str">
        <f>IFERROR(IF(INDEX(Observaciones!D$3:D$147,MATCH(ROWS($A$3:A49),Observaciones!$N$3:$N$147,0))="","",INDEX(Observaciones!D$3:D$147,MATCH(ROWS($A$3:A49),Observaciones!$N$3:$N$147,0))),"")</f>
        <v/>
      </c>
      <c r="E49" s="33" t="str">
        <f>IFERROR(IF(INDEX(Observaciones!E$3:E$147,MATCH(ROWS($A$3:A49),Observaciones!$N$3:$N$147,0))="","",INDEX(Observaciones!E$3:E$147,MATCH(ROWS($A$3:A49),Observaciones!$N$3:$N$147,0))),"")</f>
        <v/>
      </c>
      <c r="F49" s="30" t="str">
        <f>IFERROR(IF(INDEX(Observaciones!F$3:F$147,MATCH(ROWS($A$3:A49),Observaciones!$N$3:$N$147,0))="","",INDEX(Observaciones!F$3:F$147,MATCH(ROWS($A$3:A49),Observaciones!$N$3:$N$147,0))),"")</f>
        <v/>
      </c>
      <c r="G49" s="32" t="str">
        <f>IFERROR(IF(INDEX(Observaciones!I$3:I$147,MATCH(ROWS($A$3:A49),Observaciones!$N$3:$N$147,0))="","",INDEX(Observaciones!I$3:I$147,MATCH(ROWS($A$3:A49),Observaciones!$N$3:$N$147,0))),"")</f>
        <v/>
      </c>
      <c r="H49" s="33" t="str">
        <f>IFERROR(IF(INDEX(Observaciones!J$3:J$147,MATCH(ROWS($A$3:A49),Observaciones!$N$3:$N$147,0))="","",INDEX(Observaciones!J$3:J$147,MATCH(ROWS($A$3:A49),Observaciones!$N$3:$N$147,0))),"")</f>
        <v/>
      </c>
    </row>
    <row r="50" spans="1:8" s="10" customFormat="1" ht="28.95" customHeight="1" x14ac:dyDescent="0.3">
      <c r="A50" s="30" t="str">
        <f>IFERROR(IF(INDEX(Observaciones!A$3:A$147,MATCH(ROWS($A$3:A50),Observaciones!$N$3:$N$147,0))="","",INDEX(Observaciones!A$3:A$147,MATCH(ROWS($A$3:A50),Observaciones!$N$3:$N$147,0))),"")</f>
        <v/>
      </c>
      <c r="B50" s="31" t="str">
        <f>IFERROR(IF(INDEX(Observaciones!C$3:C$147,MATCH(ROWS($A$3:A50),Observaciones!$N$3:$N$147,0))="","",INDEX(Observaciones!C$3:C$147,MATCH(ROWS($A$3:A50),Observaciones!$N$3:$N$147,0))),"")</f>
        <v/>
      </c>
      <c r="C50" s="32" t="str">
        <f>IFERROR(IF(INDEX(Observaciones!B$3:B$147,MATCH(ROWS($A$3:A50),Observaciones!$N$3:$N$147,0))="","",INDEX(Observaciones!B$3:B$147,MATCH(ROWS($A$3:A50),Observaciones!$N$3:$N$147,0))),"")</f>
        <v/>
      </c>
      <c r="D50" s="30" t="str">
        <f>IFERROR(IF(INDEX(Observaciones!D$3:D$147,MATCH(ROWS($A$3:A50),Observaciones!$N$3:$N$147,0))="","",INDEX(Observaciones!D$3:D$147,MATCH(ROWS($A$3:A50),Observaciones!$N$3:$N$147,0))),"")</f>
        <v/>
      </c>
      <c r="E50" s="33" t="str">
        <f>IFERROR(IF(INDEX(Observaciones!E$3:E$147,MATCH(ROWS($A$3:A50),Observaciones!$N$3:$N$147,0))="","",INDEX(Observaciones!E$3:E$147,MATCH(ROWS($A$3:A50),Observaciones!$N$3:$N$147,0))),"")</f>
        <v/>
      </c>
      <c r="F50" s="30" t="str">
        <f>IFERROR(IF(INDEX(Observaciones!F$3:F$147,MATCH(ROWS($A$3:A50),Observaciones!$N$3:$N$147,0))="","",INDEX(Observaciones!F$3:F$147,MATCH(ROWS($A$3:A50),Observaciones!$N$3:$N$147,0))),"")</f>
        <v/>
      </c>
      <c r="G50" s="32" t="str">
        <f>IFERROR(IF(INDEX(Observaciones!I$3:I$147,MATCH(ROWS($A$3:A50),Observaciones!$N$3:$N$147,0))="","",INDEX(Observaciones!I$3:I$147,MATCH(ROWS($A$3:A50),Observaciones!$N$3:$N$147,0))),"")</f>
        <v/>
      </c>
      <c r="H50" s="33" t="str">
        <f>IFERROR(IF(INDEX(Observaciones!J$3:J$147,MATCH(ROWS($A$3:A50),Observaciones!$N$3:$N$147,0))="","",INDEX(Observaciones!J$3:J$147,MATCH(ROWS($A$3:A50),Observaciones!$N$3:$N$147,0))),"")</f>
        <v/>
      </c>
    </row>
    <row r="51" spans="1:8" s="10" customFormat="1" ht="28.95" customHeight="1" x14ac:dyDescent="0.3">
      <c r="A51" s="30" t="str">
        <f>IFERROR(IF(INDEX(Observaciones!A$3:A$147,MATCH(ROWS($A$3:A51),Observaciones!$N$3:$N$147,0))="","",INDEX(Observaciones!A$3:A$147,MATCH(ROWS($A$3:A51),Observaciones!$N$3:$N$147,0))),"")</f>
        <v/>
      </c>
      <c r="B51" s="31" t="str">
        <f>IFERROR(IF(INDEX(Observaciones!C$3:C$147,MATCH(ROWS($A$3:A51),Observaciones!$N$3:$N$147,0))="","",INDEX(Observaciones!C$3:C$147,MATCH(ROWS($A$3:A51),Observaciones!$N$3:$N$147,0))),"")</f>
        <v/>
      </c>
      <c r="C51" s="32" t="str">
        <f>IFERROR(IF(INDEX(Observaciones!B$3:B$147,MATCH(ROWS($A$3:A51),Observaciones!$N$3:$N$147,0))="","",INDEX(Observaciones!B$3:B$147,MATCH(ROWS($A$3:A51),Observaciones!$N$3:$N$147,0))),"")</f>
        <v/>
      </c>
      <c r="D51" s="30" t="str">
        <f>IFERROR(IF(INDEX(Observaciones!D$3:D$147,MATCH(ROWS($A$3:A51),Observaciones!$N$3:$N$147,0))="","",INDEX(Observaciones!D$3:D$147,MATCH(ROWS($A$3:A51),Observaciones!$N$3:$N$147,0))),"")</f>
        <v/>
      </c>
      <c r="E51" s="33" t="str">
        <f>IFERROR(IF(INDEX(Observaciones!E$3:E$147,MATCH(ROWS($A$3:A51),Observaciones!$N$3:$N$147,0))="","",INDEX(Observaciones!E$3:E$147,MATCH(ROWS($A$3:A51),Observaciones!$N$3:$N$147,0))),"")</f>
        <v/>
      </c>
      <c r="F51" s="30" t="str">
        <f>IFERROR(IF(INDEX(Observaciones!F$3:F$147,MATCH(ROWS($A$3:A51),Observaciones!$N$3:$N$147,0))="","",INDEX(Observaciones!F$3:F$147,MATCH(ROWS($A$3:A51),Observaciones!$N$3:$N$147,0))),"")</f>
        <v/>
      </c>
      <c r="G51" s="32" t="str">
        <f>IFERROR(IF(INDEX(Observaciones!I$3:I$147,MATCH(ROWS($A$3:A51),Observaciones!$N$3:$N$147,0))="","",INDEX(Observaciones!I$3:I$147,MATCH(ROWS($A$3:A51),Observaciones!$N$3:$N$147,0))),"")</f>
        <v/>
      </c>
      <c r="H51" s="33" t="str">
        <f>IFERROR(IF(INDEX(Observaciones!J$3:J$147,MATCH(ROWS($A$3:A51),Observaciones!$N$3:$N$147,0))="","",INDEX(Observaciones!J$3:J$147,MATCH(ROWS($A$3:A51),Observaciones!$N$3:$N$147,0))),"")</f>
        <v/>
      </c>
    </row>
    <row r="52" spans="1:8" s="10" customFormat="1" ht="28.95" customHeight="1" x14ac:dyDescent="0.3">
      <c r="A52" s="30" t="str">
        <f>IFERROR(IF(INDEX(Observaciones!A$3:A$147,MATCH(ROWS($A$3:A52),Observaciones!$N$3:$N$147,0))="","",INDEX(Observaciones!A$3:A$147,MATCH(ROWS($A$3:A52),Observaciones!$N$3:$N$147,0))),"")</f>
        <v/>
      </c>
      <c r="B52" s="31" t="str">
        <f>IFERROR(IF(INDEX(Observaciones!C$3:C$147,MATCH(ROWS($A$3:A52),Observaciones!$N$3:$N$147,0))="","",INDEX(Observaciones!C$3:C$147,MATCH(ROWS($A$3:A52),Observaciones!$N$3:$N$147,0))),"")</f>
        <v/>
      </c>
      <c r="C52" s="32" t="str">
        <f>IFERROR(IF(INDEX(Observaciones!B$3:B$147,MATCH(ROWS($A$3:A52),Observaciones!$N$3:$N$147,0))="","",INDEX(Observaciones!B$3:B$147,MATCH(ROWS($A$3:A52),Observaciones!$N$3:$N$147,0))),"")</f>
        <v/>
      </c>
      <c r="D52" s="30" t="str">
        <f>IFERROR(IF(INDEX(Observaciones!D$3:D$147,MATCH(ROWS($A$3:A52),Observaciones!$N$3:$N$147,0))="","",INDEX(Observaciones!D$3:D$147,MATCH(ROWS($A$3:A52),Observaciones!$N$3:$N$147,0))),"")</f>
        <v/>
      </c>
      <c r="E52" s="33" t="str">
        <f>IFERROR(IF(INDEX(Observaciones!E$3:E$147,MATCH(ROWS($A$3:A52),Observaciones!$N$3:$N$147,0))="","",INDEX(Observaciones!E$3:E$147,MATCH(ROWS($A$3:A52),Observaciones!$N$3:$N$147,0))),"")</f>
        <v/>
      </c>
      <c r="F52" s="30" t="str">
        <f>IFERROR(IF(INDEX(Observaciones!F$3:F$147,MATCH(ROWS($A$3:A52),Observaciones!$N$3:$N$147,0))="","",INDEX(Observaciones!F$3:F$147,MATCH(ROWS($A$3:A52),Observaciones!$N$3:$N$147,0))),"")</f>
        <v/>
      </c>
      <c r="G52" s="32" t="str">
        <f>IFERROR(IF(INDEX(Observaciones!I$3:I$147,MATCH(ROWS($A$3:A52),Observaciones!$N$3:$N$147,0))="","",INDEX(Observaciones!I$3:I$147,MATCH(ROWS($A$3:A52),Observaciones!$N$3:$N$147,0))),"")</f>
        <v/>
      </c>
      <c r="H52" s="33" t="str">
        <f>IFERROR(IF(INDEX(Observaciones!J$3:J$147,MATCH(ROWS($A$3:A52),Observaciones!$N$3:$N$147,0))="","",INDEX(Observaciones!J$3:J$147,MATCH(ROWS($A$3:A52),Observaciones!$N$3:$N$147,0))),"")</f>
        <v/>
      </c>
    </row>
    <row r="53" spans="1:8" s="10" customFormat="1" ht="28.95" customHeight="1" x14ac:dyDescent="0.3">
      <c r="A53" s="30" t="str">
        <f>IFERROR(IF(INDEX(Observaciones!A$3:A$147,MATCH(ROWS($A$3:A53),Observaciones!$N$3:$N$147,0))="","",INDEX(Observaciones!A$3:A$147,MATCH(ROWS($A$3:A53),Observaciones!$N$3:$N$147,0))),"")</f>
        <v/>
      </c>
      <c r="B53" s="31" t="str">
        <f>IFERROR(IF(INDEX(Observaciones!C$3:C$147,MATCH(ROWS($A$3:A53),Observaciones!$N$3:$N$147,0))="","",INDEX(Observaciones!C$3:C$147,MATCH(ROWS($A$3:A53),Observaciones!$N$3:$N$147,0))),"")</f>
        <v/>
      </c>
      <c r="C53" s="32" t="str">
        <f>IFERROR(IF(INDEX(Observaciones!B$3:B$147,MATCH(ROWS($A$3:A53),Observaciones!$N$3:$N$147,0))="","",INDEX(Observaciones!B$3:B$147,MATCH(ROWS($A$3:A53),Observaciones!$N$3:$N$147,0))),"")</f>
        <v/>
      </c>
      <c r="D53" s="30" t="str">
        <f>IFERROR(IF(INDEX(Observaciones!D$3:D$147,MATCH(ROWS($A$3:A53),Observaciones!$N$3:$N$147,0))="","",INDEX(Observaciones!D$3:D$147,MATCH(ROWS($A$3:A53),Observaciones!$N$3:$N$147,0))),"")</f>
        <v/>
      </c>
      <c r="E53" s="33" t="str">
        <f>IFERROR(IF(INDEX(Observaciones!E$3:E$147,MATCH(ROWS($A$3:A53),Observaciones!$N$3:$N$147,0))="","",INDEX(Observaciones!E$3:E$147,MATCH(ROWS($A$3:A53),Observaciones!$N$3:$N$147,0))),"")</f>
        <v/>
      </c>
      <c r="F53" s="30" t="str">
        <f>IFERROR(IF(INDEX(Observaciones!F$3:F$147,MATCH(ROWS($A$3:A53),Observaciones!$N$3:$N$147,0))="","",INDEX(Observaciones!F$3:F$147,MATCH(ROWS($A$3:A53),Observaciones!$N$3:$N$147,0))),"")</f>
        <v/>
      </c>
      <c r="G53" s="32" t="str">
        <f>IFERROR(IF(INDEX(Observaciones!I$3:I$147,MATCH(ROWS($A$3:A53),Observaciones!$N$3:$N$147,0))="","",INDEX(Observaciones!I$3:I$147,MATCH(ROWS($A$3:A53),Observaciones!$N$3:$N$147,0))),"")</f>
        <v/>
      </c>
      <c r="H53" s="33" t="str">
        <f>IFERROR(IF(INDEX(Observaciones!J$3:J$147,MATCH(ROWS($A$3:A53),Observaciones!$N$3:$N$147,0))="","",INDEX(Observaciones!J$3:J$147,MATCH(ROWS($A$3:A53),Observaciones!$N$3:$N$147,0))),"")</f>
        <v/>
      </c>
    </row>
    <row r="54" spans="1:8" s="10" customFormat="1" ht="28.95" customHeight="1" x14ac:dyDescent="0.3">
      <c r="A54" s="30" t="str">
        <f>IFERROR(IF(INDEX(Observaciones!A$3:A$147,MATCH(ROWS($A$3:A54),Observaciones!$N$3:$N$147,0))="","",INDEX(Observaciones!A$3:A$147,MATCH(ROWS($A$3:A54),Observaciones!$N$3:$N$147,0))),"")</f>
        <v/>
      </c>
      <c r="B54" s="31" t="str">
        <f>IFERROR(IF(INDEX(Observaciones!C$3:C$147,MATCH(ROWS($A$3:A54),Observaciones!$N$3:$N$147,0))="","",INDEX(Observaciones!C$3:C$147,MATCH(ROWS($A$3:A54),Observaciones!$N$3:$N$147,0))),"")</f>
        <v/>
      </c>
      <c r="C54" s="32" t="str">
        <f>IFERROR(IF(INDEX(Observaciones!B$3:B$147,MATCH(ROWS($A$3:A54),Observaciones!$N$3:$N$147,0))="","",INDEX(Observaciones!B$3:B$147,MATCH(ROWS($A$3:A54),Observaciones!$N$3:$N$147,0))),"")</f>
        <v/>
      </c>
      <c r="D54" s="30" t="str">
        <f>IFERROR(IF(INDEX(Observaciones!D$3:D$147,MATCH(ROWS($A$3:A54),Observaciones!$N$3:$N$147,0))="","",INDEX(Observaciones!D$3:D$147,MATCH(ROWS($A$3:A54),Observaciones!$N$3:$N$147,0))),"")</f>
        <v/>
      </c>
      <c r="E54" s="33" t="str">
        <f>IFERROR(IF(INDEX(Observaciones!E$3:E$147,MATCH(ROWS($A$3:A54),Observaciones!$N$3:$N$147,0))="","",INDEX(Observaciones!E$3:E$147,MATCH(ROWS($A$3:A54),Observaciones!$N$3:$N$147,0))),"")</f>
        <v/>
      </c>
      <c r="F54" s="30" t="str">
        <f>IFERROR(IF(INDEX(Observaciones!F$3:F$147,MATCH(ROWS($A$3:A54),Observaciones!$N$3:$N$147,0))="","",INDEX(Observaciones!F$3:F$147,MATCH(ROWS($A$3:A54),Observaciones!$N$3:$N$147,0))),"")</f>
        <v/>
      </c>
      <c r="G54" s="32" t="str">
        <f>IFERROR(IF(INDEX(Observaciones!I$3:I$147,MATCH(ROWS($A$3:A54),Observaciones!$N$3:$N$147,0))="","",INDEX(Observaciones!I$3:I$147,MATCH(ROWS($A$3:A54),Observaciones!$N$3:$N$147,0))),"")</f>
        <v/>
      </c>
      <c r="H54" s="33" t="str">
        <f>IFERROR(IF(INDEX(Observaciones!J$3:J$147,MATCH(ROWS($A$3:A54),Observaciones!$N$3:$N$147,0))="","",INDEX(Observaciones!J$3:J$147,MATCH(ROWS($A$3:A54),Observaciones!$N$3:$N$147,0))),"")</f>
        <v/>
      </c>
    </row>
    <row r="55" spans="1:8" s="10" customFormat="1" ht="28.95" customHeight="1" x14ac:dyDescent="0.3">
      <c r="A55" s="30" t="str">
        <f>IFERROR(IF(INDEX(Observaciones!A$3:A$147,MATCH(ROWS($A$3:A55),Observaciones!$N$3:$N$147,0))="","",INDEX(Observaciones!A$3:A$147,MATCH(ROWS($A$3:A55),Observaciones!$N$3:$N$147,0))),"")</f>
        <v/>
      </c>
      <c r="B55" s="31" t="str">
        <f>IFERROR(IF(INDEX(Observaciones!C$3:C$147,MATCH(ROWS($A$3:A55),Observaciones!$N$3:$N$147,0))="","",INDEX(Observaciones!C$3:C$147,MATCH(ROWS($A$3:A55),Observaciones!$N$3:$N$147,0))),"")</f>
        <v/>
      </c>
      <c r="C55" s="32" t="str">
        <f>IFERROR(IF(INDEX(Observaciones!B$3:B$147,MATCH(ROWS($A$3:A55),Observaciones!$N$3:$N$147,0))="","",INDEX(Observaciones!B$3:B$147,MATCH(ROWS($A$3:A55),Observaciones!$N$3:$N$147,0))),"")</f>
        <v/>
      </c>
      <c r="D55" s="30" t="str">
        <f>IFERROR(IF(INDEX(Observaciones!D$3:D$147,MATCH(ROWS($A$3:A55),Observaciones!$N$3:$N$147,0))="","",INDEX(Observaciones!D$3:D$147,MATCH(ROWS($A$3:A55),Observaciones!$N$3:$N$147,0))),"")</f>
        <v/>
      </c>
      <c r="E55" s="33" t="str">
        <f>IFERROR(IF(INDEX(Observaciones!E$3:E$147,MATCH(ROWS($A$3:A55),Observaciones!$N$3:$N$147,0))="","",INDEX(Observaciones!E$3:E$147,MATCH(ROWS($A$3:A55),Observaciones!$N$3:$N$147,0))),"")</f>
        <v/>
      </c>
      <c r="F55" s="30" t="str">
        <f>IFERROR(IF(INDEX(Observaciones!F$3:F$147,MATCH(ROWS($A$3:A55),Observaciones!$N$3:$N$147,0))="","",INDEX(Observaciones!F$3:F$147,MATCH(ROWS($A$3:A55),Observaciones!$N$3:$N$147,0))),"")</f>
        <v/>
      </c>
      <c r="G55" s="32" t="str">
        <f>IFERROR(IF(INDEX(Observaciones!I$3:I$147,MATCH(ROWS($A$3:A55),Observaciones!$N$3:$N$147,0))="","",INDEX(Observaciones!I$3:I$147,MATCH(ROWS($A$3:A55),Observaciones!$N$3:$N$147,0))),"")</f>
        <v/>
      </c>
      <c r="H55" s="33" t="str">
        <f>IFERROR(IF(INDEX(Observaciones!J$3:J$147,MATCH(ROWS($A$3:A55),Observaciones!$N$3:$N$147,0))="","",INDEX(Observaciones!J$3:J$147,MATCH(ROWS($A$3:A55),Observaciones!$N$3:$N$147,0))),"")</f>
        <v/>
      </c>
    </row>
    <row r="56" spans="1:8" s="10" customFormat="1" ht="28.95" customHeight="1" x14ac:dyDescent="0.3">
      <c r="A56" s="30" t="str">
        <f>IFERROR(IF(INDEX(Observaciones!A$3:A$147,MATCH(ROWS($A$3:A56),Observaciones!$N$3:$N$147,0))="","",INDEX(Observaciones!A$3:A$147,MATCH(ROWS($A$3:A56),Observaciones!$N$3:$N$147,0))),"")</f>
        <v/>
      </c>
      <c r="B56" s="31" t="str">
        <f>IFERROR(IF(INDEX(Observaciones!C$3:C$147,MATCH(ROWS($A$3:A56),Observaciones!$N$3:$N$147,0))="","",INDEX(Observaciones!C$3:C$147,MATCH(ROWS($A$3:A56),Observaciones!$N$3:$N$147,0))),"")</f>
        <v/>
      </c>
      <c r="C56" s="32" t="str">
        <f>IFERROR(IF(INDEX(Observaciones!B$3:B$147,MATCH(ROWS($A$3:A56),Observaciones!$N$3:$N$147,0))="","",INDEX(Observaciones!B$3:B$147,MATCH(ROWS($A$3:A56),Observaciones!$N$3:$N$147,0))),"")</f>
        <v/>
      </c>
      <c r="D56" s="30" t="str">
        <f>IFERROR(IF(INDEX(Observaciones!D$3:D$147,MATCH(ROWS($A$3:A56),Observaciones!$N$3:$N$147,0))="","",INDEX(Observaciones!D$3:D$147,MATCH(ROWS($A$3:A56),Observaciones!$N$3:$N$147,0))),"")</f>
        <v/>
      </c>
      <c r="E56" s="33" t="str">
        <f>IFERROR(IF(INDEX(Observaciones!E$3:E$147,MATCH(ROWS($A$3:A56),Observaciones!$N$3:$N$147,0))="","",INDEX(Observaciones!E$3:E$147,MATCH(ROWS($A$3:A56),Observaciones!$N$3:$N$147,0))),"")</f>
        <v/>
      </c>
      <c r="F56" s="30" t="str">
        <f>IFERROR(IF(INDEX(Observaciones!F$3:F$147,MATCH(ROWS($A$3:A56),Observaciones!$N$3:$N$147,0))="","",INDEX(Observaciones!F$3:F$147,MATCH(ROWS($A$3:A56),Observaciones!$N$3:$N$147,0))),"")</f>
        <v/>
      </c>
      <c r="G56" s="32" t="str">
        <f>IFERROR(IF(INDEX(Observaciones!I$3:I$147,MATCH(ROWS($A$3:A56),Observaciones!$N$3:$N$147,0))="","",INDEX(Observaciones!I$3:I$147,MATCH(ROWS($A$3:A56),Observaciones!$N$3:$N$147,0))),"")</f>
        <v/>
      </c>
      <c r="H56" s="33" t="str">
        <f>IFERROR(IF(INDEX(Observaciones!J$3:J$147,MATCH(ROWS($A$3:A56),Observaciones!$N$3:$N$147,0))="","",INDEX(Observaciones!J$3:J$147,MATCH(ROWS($A$3:A56),Observaciones!$N$3:$N$147,0))),"")</f>
        <v/>
      </c>
    </row>
    <row r="57" spans="1:8" s="10" customFormat="1" ht="28.95" customHeight="1" x14ac:dyDescent="0.3">
      <c r="A57" s="30" t="str">
        <f>IFERROR(IF(INDEX(Observaciones!A$3:A$147,MATCH(ROWS($A$3:A57),Observaciones!$N$3:$N$147,0))="","",INDEX(Observaciones!A$3:A$147,MATCH(ROWS($A$3:A57),Observaciones!$N$3:$N$147,0))),"")</f>
        <v/>
      </c>
      <c r="B57" s="31" t="str">
        <f>IFERROR(IF(INDEX(Observaciones!C$3:C$147,MATCH(ROWS($A$3:A57),Observaciones!$N$3:$N$147,0))="","",INDEX(Observaciones!C$3:C$147,MATCH(ROWS($A$3:A57),Observaciones!$N$3:$N$147,0))),"")</f>
        <v/>
      </c>
      <c r="C57" s="32" t="str">
        <f>IFERROR(IF(INDEX(Observaciones!B$3:B$147,MATCH(ROWS($A$3:A57),Observaciones!$N$3:$N$147,0))="","",INDEX(Observaciones!B$3:B$147,MATCH(ROWS($A$3:A57),Observaciones!$N$3:$N$147,0))),"")</f>
        <v/>
      </c>
      <c r="D57" s="30" t="str">
        <f>IFERROR(IF(INDEX(Observaciones!D$3:D$147,MATCH(ROWS($A$3:A57),Observaciones!$N$3:$N$147,0))="","",INDEX(Observaciones!D$3:D$147,MATCH(ROWS($A$3:A57),Observaciones!$N$3:$N$147,0))),"")</f>
        <v/>
      </c>
      <c r="E57" s="33" t="str">
        <f>IFERROR(IF(INDEX(Observaciones!E$3:E$147,MATCH(ROWS($A$3:A57),Observaciones!$N$3:$N$147,0))="","",INDEX(Observaciones!E$3:E$147,MATCH(ROWS($A$3:A57),Observaciones!$N$3:$N$147,0))),"")</f>
        <v/>
      </c>
      <c r="F57" s="30" t="str">
        <f>IFERROR(IF(INDEX(Observaciones!F$3:F$147,MATCH(ROWS($A$3:A57),Observaciones!$N$3:$N$147,0))="","",INDEX(Observaciones!F$3:F$147,MATCH(ROWS($A$3:A57),Observaciones!$N$3:$N$147,0))),"")</f>
        <v/>
      </c>
      <c r="G57" s="32" t="str">
        <f>IFERROR(IF(INDEX(Observaciones!I$3:I$147,MATCH(ROWS($A$3:A57),Observaciones!$N$3:$N$147,0))="","",INDEX(Observaciones!I$3:I$147,MATCH(ROWS($A$3:A57),Observaciones!$N$3:$N$147,0))),"")</f>
        <v/>
      </c>
      <c r="H57" s="33" t="str">
        <f>IFERROR(IF(INDEX(Observaciones!J$3:J$147,MATCH(ROWS($A$3:A57),Observaciones!$N$3:$N$147,0))="","",INDEX(Observaciones!J$3:J$147,MATCH(ROWS($A$3:A57),Observaciones!$N$3:$N$147,0))),"")</f>
        <v/>
      </c>
    </row>
    <row r="58" spans="1:8" s="10" customFormat="1" ht="28.95" customHeight="1" x14ac:dyDescent="0.3">
      <c r="A58" s="30" t="str">
        <f>IFERROR(IF(INDEX(Observaciones!A$3:A$147,MATCH(ROWS($A$3:A58),Observaciones!$N$3:$N$147,0))="","",INDEX(Observaciones!A$3:A$147,MATCH(ROWS($A$3:A58),Observaciones!$N$3:$N$147,0))),"")</f>
        <v/>
      </c>
      <c r="B58" s="31" t="str">
        <f>IFERROR(IF(INDEX(Observaciones!C$3:C$147,MATCH(ROWS($A$3:A58),Observaciones!$N$3:$N$147,0))="","",INDEX(Observaciones!C$3:C$147,MATCH(ROWS($A$3:A58),Observaciones!$N$3:$N$147,0))),"")</f>
        <v/>
      </c>
      <c r="C58" s="32" t="str">
        <f>IFERROR(IF(INDEX(Observaciones!B$3:B$147,MATCH(ROWS($A$3:A58),Observaciones!$N$3:$N$147,0))="","",INDEX(Observaciones!B$3:B$147,MATCH(ROWS($A$3:A58),Observaciones!$N$3:$N$147,0))),"")</f>
        <v/>
      </c>
      <c r="D58" s="30" t="str">
        <f>IFERROR(IF(INDEX(Observaciones!D$3:D$147,MATCH(ROWS($A$3:A58),Observaciones!$N$3:$N$147,0))="","",INDEX(Observaciones!D$3:D$147,MATCH(ROWS($A$3:A58),Observaciones!$N$3:$N$147,0))),"")</f>
        <v/>
      </c>
      <c r="E58" s="33" t="str">
        <f>IFERROR(IF(INDEX(Observaciones!E$3:E$147,MATCH(ROWS($A$3:A58),Observaciones!$N$3:$N$147,0))="","",INDEX(Observaciones!E$3:E$147,MATCH(ROWS($A$3:A58),Observaciones!$N$3:$N$147,0))),"")</f>
        <v/>
      </c>
      <c r="F58" s="30" t="str">
        <f>IFERROR(IF(INDEX(Observaciones!F$3:F$147,MATCH(ROWS($A$3:A58),Observaciones!$N$3:$N$147,0))="","",INDEX(Observaciones!F$3:F$147,MATCH(ROWS($A$3:A58),Observaciones!$N$3:$N$147,0))),"")</f>
        <v/>
      </c>
      <c r="G58" s="32" t="str">
        <f>IFERROR(IF(INDEX(Observaciones!I$3:I$147,MATCH(ROWS($A$3:A58),Observaciones!$N$3:$N$147,0))="","",INDEX(Observaciones!I$3:I$147,MATCH(ROWS($A$3:A58),Observaciones!$N$3:$N$147,0))),"")</f>
        <v/>
      </c>
      <c r="H58" s="33" t="str">
        <f>IFERROR(IF(INDEX(Observaciones!J$3:J$147,MATCH(ROWS($A$3:A58),Observaciones!$N$3:$N$147,0))="","",INDEX(Observaciones!J$3:J$147,MATCH(ROWS($A$3:A58),Observaciones!$N$3:$N$147,0))),"")</f>
        <v/>
      </c>
    </row>
    <row r="59" spans="1:8" s="10" customFormat="1" ht="28.95" customHeight="1" x14ac:dyDescent="0.3">
      <c r="A59" s="30" t="str">
        <f>IFERROR(IF(INDEX(Observaciones!A$3:A$147,MATCH(ROWS($A$3:A59),Observaciones!$N$3:$N$147,0))="","",INDEX(Observaciones!A$3:A$147,MATCH(ROWS($A$3:A59),Observaciones!$N$3:$N$147,0))),"")</f>
        <v/>
      </c>
      <c r="B59" s="31" t="str">
        <f>IFERROR(IF(INDEX(Observaciones!C$3:C$147,MATCH(ROWS($A$3:A59),Observaciones!$N$3:$N$147,0))="","",INDEX(Observaciones!C$3:C$147,MATCH(ROWS($A$3:A59),Observaciones!$N$3:$N$147,0))),"")</f>
        <v/>
      </c>
      <c r="C59" s="32" t="str">
        <f>IFERROR(IF(INDEX(Observaciones!B$3:B$147,MATCH(ROWS($A$3:A59),Observaciones!$N$3:$N$147,0))="","",INDEX(Observaciones!B$3:B$147,MATCH(ROWS($A$3:A59),Observaciones!$N$3:$N$147,0))),"")</f>
        <v/>
      </c>
      <c r="D59" s="30" t="str">
        <f>IFERROR(IF(INDEX(Observaciones!D$3:D$147,MATCH(ROWS($A$3:A59),Observaciones!$N$3:$N$147,0))="","",INDEX(Observaciones!D$3:D$147,MATCH(ROWS($A$3:A59),Observaciones!$N$3:$N$147,0))),"")</f>
        <v/>
      </c>
      <c r="E59" s="33" t="str">
        <f>IFERROR(IF(INDEX(Observaciones!E$3:E$147,MATCH(ROWS($A$3:A59),Observaciones!$N$3:$N$147,0))="","",INDEX(Observaciones!E$3:E$147,MATCH(ROWS($A$3:A59),Observaciones!$N$3:$N$147,0))),"")</f>
        <v/>
      </c>
      <c r="F59" s="30" t="str">
        <f>IFERROR(IF(INDEX(Observaciones!F$3:F$147,MATCH(ROWS($A$3:A59),Observaciones!$N$3:$N$147,0))="","",INDEX(Observaciones!F$3:F$147,MATCH(ROWS($A$3:A59),Observaciones!$N$3:$N$147,0))),"")</f>
        <v/>
      </c>
      <c r="G59" s="32" t="str">
        <f>IFERROR(IF(INDEX(Observaciones!I$3:I$147,MATCH(ROWS($A$3:A59),Observaciones!$N$3:$N$147,0))="","",INDEX(Observaciones!I$3:I$147,MATCH(ROWS($A$3:A59),Observaciones!$N$3:$N$147,0))),"")</f>
        <v/>
      </c>
      <c r="H59" s="33" t="str">
        <f>IFERROR(IF(INDEX(Observaciones!J$3:J$147,MATCH(ROWS($A$3:A59),Observaciones!$N$3:$N$147,0))="","",INDEX(Observaciones!J$3:J$147,MATCH(ROWS($A$3:A59),Observaciones!$N$3:$N$147,0))),"")</f>
        <v/>
      </c>
    </row>
    <row r="60" spans="1:8" s="10" customFormat="1" ht="28.95" customHeight="1" x14ac:dyDescent="0.3">
      <c r="A60" s="30" t="str">
        <f>IFERROR(IF(INDEX(Observaciones!A$3:A$147,MATCH(ROWS($A$3:A60),Observaciones!$N$3:$N$147,0))="","",INDEX(Observaciones!A$3:A$147,MATCH(ROWS($A$3:A60),Observaciones!$N$3:$N$147,0))),"")</f>
        <v/>
      </c>
      <c r="B60" s="31" t="str">
        <f>IFERROR(IF(INDEX(Observaciones!C$3:C$147,MATCH(ROWS($A$3:A60),Observaciones!$N$3:$N$147,0))="","",INDEX(Observaciones!C$3:C$147,MATCH(ROWS($A$3:A60),Observaciones!$N$3:$N$147,0))),"")</f>
        <v/>
      </c>
      <c r="C60" s="32" t="str">
        <f>IFERROR(IF(INDEX(Observaciones!B$3:B$147,MATCH(ROWS($A$3:A60),Observaciones!$N$3:$N$147,0))="","",INDEX(Observaciones!B$3:B$147,MATCH(ROWS($A$3:A60),Observaciones!$N$3:$N$147,0))),"")</f>
        <v/>
      </c>
      <c r="D60" s="30" t="str">
        <f>IFERROR(IF(INDEX(Observaciones!D$3:D$147,MATCH(ROWS($A$3:A60),Observaciones!$N$3:$N$147,0))="","",INDEX(Observaciones!D$3:D$147,MATCH(ROWS($A$3:A60),Observaciones!$N$3:$N$147,0))),"")</f>
        <v/>
      </c>
      <c r="E60" s="33" t="str">
        <f>IFERROR(IF(INDEX(Observaciones!E$3:E$147,MATCH(ROWS($A$3:A60),Observaciones!$N$3:$N$147,0))="","",INDEX(Observaciones!E$3:E$147,MATCH(ROWS($A$3:A60),Observaciones!$N$3:$N$147,0))),"")</f>
        <v/>
      </c>
      <c r="F60" s="30" t="str">
        <f>IFERROR(IF(INDEX(Observaciones!F$3:F$147,MATCH(ROWS($A$3:A60),Observaciones!$N$3:$N$147,0))="","",INDEX(Observaciones!F$3:F$147,MATCH(ROWS($A$3:A60),Observaciones!$N$3:$N$147,0))),"")</f>
        <v/>
      </c>
      <c r="G60" s="32" t="str">
        <f>IFERROR(IF(INDEX(Observaciones!I$3:I$147,MATCH(ROWS($A$3:A60),Observaciones!$N$3:$N$147,0))="","",INDEX(Observaciones!I$3:I$147,MATCH(ROWS($A$3:A60),Observaciones!$N$3:$N$147,0))),"")</f>
        <v/>
      </c>
      <c r="H60" s="33" t="str">
        <f>IFERROR(IF(INDEX(Observaciones!J$3:J$147,MATCH(ROWS($A$3:A60),Observaciones!$N$3:$N$147,0))="","",INDEX(Observaciones!J$3:J$147,MATCH(ROWS($A$3:A60),Observaciones!$N$3:$N$147,0))),"")</f>
        <v/>
      </c>
    </row>
    <row r="61" spans="1:8" s="10" customFormat="1" ht="28.95" customHeight="1" x14ac:dyDescent="0.3">
      <c r="A61" s="30" t="str">
        <f>IFERROR(IF(INDEX(Observaciones!A$3:A$147,MATCH(ROWS($A$3:A61),Observaciones!$N$3:$N$147,0))="","",INDEX(Observaciones!A$3:A$147,MATCH(ROWS($A$3:A61),Observaciones!$N$3:$N$147,0))),"")</f>
        <v/>
      </c>
      <c r="B61" s="31" t="str">
        <f>IFERROR(IF(INDEX(Observaciones!C$3:C$147,MATCH(ROWS($A$3:A61),Observaciones!$N$3:$N$147,0))="","",INDEX(Observaciones!C$3:C$147,MATCH(ROWS($A$3:A61),Observaciones!$N$3:$N$147,0))),"")</f>
        <v/>
      </c>
      <c r="C61" s="32" t="str">
        <f>IFERROR(IF(INDEX(Observaciones!B$3:B$147,MATCH(ROWS($A$3:A61),Observaciones!$N$3:$N$147,0))="","",INDEX(Observaciones!B$3:B$147,MATCH(ROWS($A$3:A61),Observaciones!$N$3:$N$147,0))),"")</f>
        <v/>
      </c>
      <c r="D61" s="30" t="str">
        <f>IFERROR(IF(INDEX(Observaciones!D$3:D$147,MATCH(ROWS($A$3:A61),Observaciones!$N$3:$N$147,0))="","",INDEX(Observaciones!D$3:D$147,MATCH(ROWS($A$3:A61),Observaciones!$N$3:$N$147,0))),"")</f>
        <v/>
      </c>
      <c r="E61" s="33" t="str">
        <f>IFERROR(IF(INDEX(Observaciones!E$3:E$147,MATCH(ROWS($A$3:A61),Observaciones!$N$3:$N$147,0))="","",INDEX(Observaciones!E$3:E$147,MATCH(ROWS($A$3:A61),Observaciones!$N$3:$N$147,0))),"")</f>
        <v/>
      </c>
      <c r="F61" s="30" t="str">
        <f>IFERROR(IF(INDEX(Observaciones!F$3:F$147,MATCH(ROWS($A$3:A61),Observaciones!$N$3:$N$147,0))="","",INDEX(Observaciones!F$3:F$147,MATCH(ROWS($A$3:A61),Observaciones!$N$3:$N$147,0))),"")</f>
        <v/>
      </c>
      <c r="G61" s="32" t="str">
        <f>IFERROR(IF(INDEX(Observaciones!I$3:I$147,MATCH(ROWS($A$3:A61),Observaciones!$N$3:$N$147,0))="","",INDEX(Observaciones!I$3:I$147,MATCH(ROWS($A$3:A61),Observaciones!$N$3:$N$147,0))),"")</f>
        <v/>
      </c>
      <c r="H61" s="33" t="str">
        <f>IFERROR(IF(INDEX(Observaciones!J$3:J$147,MATCH(ROWS($A$3:A61),Observaciones!$N$3:$N$147,0))="","",INDEX(Observaciones!J$3:J$147,MATCH(ROWS($A$3:A61),Observaciones!$N$3:$N$147,0))),"")</f>
        <v/>
      </c>
    </row>
    <row r="62" spans="1:8" s="10" customFormat="1" ht="28.95" customHeight="1" x14ac:dyDescent="0.3">
      <c r="A62" s="30" t="str">
        <f>IFERROR(IF(INDEX(Observaciones!A$3:A$147,MATCH(ROWS($A$3:A62),Observaciones!$N$3:$N$147,0))="","",INDEX(Observaciones!A$3:A$147,MATCH(ROWS($A$3:A62),Observaciones!$N$3:$N$147,0))),"")</f>
        <v/>
      </c>
      <c r="B62" s="31" t="str">
        <f>IFERROR(IF(INDEX(Observaciones!C$3:C$147,MATCH(ROWS($A$3:A62),Observaciones!$N$3:$N$147,0))="","",INDEX(Observaciones!C$3:C$147,MATCH(ROWS($A$3:A62),Observaciones!$N$3:$N$147,0))),"")</f>
        <v/>
      </c>
      <c r="C62" s="32" t="str">
        <f>IFERROR(IF(INDEX(Observaciones!B$3:B$147,MATCH(ROWS($A$3:A62),Observaciones!$N$3:$N$147,0))="","",INDEX(Observaciones!B$3:B$147,MATCH(ROWS($A$3:A62),Observaciones!$N$3:$N$147,0))),"")</f>
        <v/>
      </c>
      <c r="D62" s="30" t="str">
        <f>IFERROR(IF(INDEX(Observaciones!D$3:D$147,MATCH(ROWS($A$3:A62),Observaciones!$N$3:$N$147,0))="","",INDEX(Observaciones!D$3:D$147,MATCH(ROWS($A$3:A62),Observaciones!$N$3:$N$147,0))),"")</f>
        <v/>
      </c>
      <c r="E62" s="33" t="str">
        <f>IFERROR(IF(INDEX(Observaciones!E$3:E$147,MATCH(ROWS($A$3:A62),Observaciones!$N$3:$N$147,0))="","",INDEX(Observaciones!E$3:E$147,MATCH(ROWS($A$3:A62),Observaciones!$N$3:$N$147,0))),"")</f>
        <v/>
      </c>
      <c r="F62" s="30" t="str">
        <f>IFERROR(IF(INDEX(Observaciones!F$3:F$147,MATCH(ROWS($A$3:A62),Observaciones!$N$3:$N$147,0))="","",INDEX(Observaciones!F$3:F$147,MATCH(ROWS($A$3:A62),Observaciones!$N$3:$N$147,0))),"")</f>
        <v/>
      </c>
      <c r="G62" s="32" t="str">
        <f>IFERROR(IF(INDEX(Observaciones!I$3:I$147,MATCH(ROWS($A$3:A62),Observaciones!$N$3:$N$147,0))="","",INDEX(Observaciones!I$3:I$147,MATCH(ROWS($A$3:A62),Observaciones!$N$3:$N$147,0))),"")</f>
        <v/>
      </c>
      <c r="H62" s="33" t="str">
        <f>IFERROR(IF(INDEX(Observaciones!J$3:J$147,MATCH(ROWS($A$3:A62),Observaciones!$N$3:$N$147,0))="","",INDEX(Observaciones!J$3:J$147,MATCH(ROWS($A$3:A62),Observaciones!$N$3:$N$147,0))),"")</f>
        <v/>
      </c>
    </row>
    <row r="63" spans="1:8" s="10" customFormat="1" ht="28.95" customHeight="1" x14ac:dyDescent="0.3">
      <c r="A63" s="30" t="str">
        <f>IFERROR(IF(INDEX(Observaciones!A$3:A$147,MATCH(ROWS($A$3:A63),Observaciones!$N$3:$N$147,0))="","",INDEX(Observaciones!A$3:A$147,MATCH(ROWS($A$3:A63),Observaciones!$N$3:$N$147,0))),"")</f>
        <v/>
      </c>
      <c r="B63" s="31" t="str">
        <f>IFERROR(IF(INDEX(Observaciones!C$3:C$147,MATCH(ROWS($A$3:A63),Observaciones!$N$3:$N$147,0))="","",INDEX(Observaciones!C$3:C$147,MATCH(ROWS($A$3:A63),Observaciones!$N$3:$N$147,0))),"")</f>
        <v/>
      </c>
      <c r="C63" s="32" t="str">
        <f>IFERROR(IF(INDEX(Observaciones!B$3:B$147,MATCH(ROWS($A$3:A63),Observaciones!$N$3:$N$147,0))="","",INDEX(Observaciones!B$3:B$147,MATCH(ROWS($A$3:A63),Observaciones!$N$3:$N$147,0))),"")</f>
        <v/>
      </c>
      <c r="D63" s="30" t="str">
        <f>IFERROR(IF(INDEX(Observaciones!D$3:D$147,MATCH(ROWS($A$3:A63),Observaciones!$N$3:$N$147,0))="","",INDEX(Observaciones!D$3:D$147,MATCH(ROWS($A$3:A63),Observaciones!$N$3:$N$147,0))),"")</f>
        <v/>
      </c>
      <c r="E63" s="33" t="str">
        <f>IFERROR(IF(INDEX(Observaciones!E$3:E$147,MATCH(ROWS($A$3:A63),Observaciones!$N$3:$N$147,0))="","",INDEX(Observaciones!E$3:E$147,MATCH(ROWS($A$3:A63),Observaciones!$N$3:$N$147,0))),"")</f>
        <v/>
      </c>
      <c r="F63" s="30" t="str">
        <f>IFERROR(IF(INDEX(Observaciones!F$3:F$147,MATCH(ROWS($A$3:A63),Observaciones!$N$3:$N$147,0))="","",INDEX(Observaciones!F$3:F$147,MATCH(ROWS($A$3:A63),Observaciones!$N$3:$N$147,0))),"")</f>
        <v/>
      </c>
      <c r="G63" s="32" t="str">
        <f>IFERROR(IF(INDEX(Observaciones!I$3:I$147,MATCH(ROWS($A$3:A63),Observaciones!$N$3:$N$147,0))="","",INDEX(Observaciones!I$3:I$147,MATCH(ROWS($A$3:A63),Observaciones!$N$3:$N$147,0))),"")</f>
        <v/>
      </c>
      <c r="H63" s="33" t="str">
        <f>IFERROR(IF(INDEX(Observaciones!J$3:J$147,MATCH(ROWS($A$3:A63),Observaciones!$N$3:$N$147,0))="","",INDEX(Observaciones!J$3:J$147,MATCH(ROWS($A$3:A63),Observaciones!$N$3:$N$147,0))),"")</f>
        <v/>
      </c>
    </row>
    <row r="64" spans="1:8" s="10" customFormat="1" ht="28.95" customHeight="1" x14ac:dyDescent="0.3">
      <c r="A64" s="30" t="str">
        <f>IFERROR(IF(INDEX(Observaciones!A$3:A$147,MATCH(ROWS($A$3:A64),Observaciones!$N$3:$N$147,0))="","",INDEX(Observaciones!A$3:A$147,MATCH(ROWS($A$3:A64),Observaciones!$N$3:$N$147,0))),"")</f>
        <v/>
      </c>
      <c r="B64" s="31" t="str">
        <f>IFERROR(IF(INDEX(Observaciones!C$3:C$147,MATCH(ROWS($A$3:A64),Observaciones!$N$3:$N$147,0))="","",INDEX(Observaciones!C$3:C$147,MATCH(ROWS($A$3:A64),Observaciones!$N$3:$N$147,0))),"")</f>
        <v/>
      </c>
      <c r="C64" s="32" t="str">
        <f>IFERROR(IF(INDEX(Observaciones!B$3:B$147,MATCH(ROWS($A$3:A64),Observaciones!$N$3:$N$147,0))="","",INDEX(Observaciones!B$3:B$147,MATCH(ROWS($A$3:A64),Observaciones!$N$3:$N$147,0))),"")</f>
        <v/>
      </c>
      <c r="D64" s="30" t="str">
        <f>IFERROR(IF(INDEX(Observaciones!D$3:D$147,MATCH(ROWS($A$3:A64),Observaciones!$N$3:$N$147,0))="","",INDEX(Observaciones!D$3:D$147,MATCH(ROWS($A$3:A64),Observaciones!$N$3:$N$147,0))),"")</f>
        <v/>
      </c>
      <c r="E64" s="33" t="str">
        <f>IFERROR(IF(INDEX(Observaciones!E$3:E$147,MATCH(ROWS($A$3:A64),Observaciones!$N$3:$N$147,0))="","",INDEX(Observaciones!E$3:E$147,MATCH(ROWS($A$3:A64),Observaciones!$N$3:$N$147,0))),"")</f>
        <v/>
      </c>
      <c r="F64" s="30" t="str">
        <f>IFERROR(IF(INDEX(Observaciones!F$3:F$147,MATCH(ROWS($A$3:A64),Observaciones!$N$3:$N$147,0))="","",INDEX(Observaciones!F$3:F$147,MATCH(ROWS($A$3:A64),Observaciones!$N$3:$N$147,0))),"")</f>
        <v/>
      </c>
      <c r="G64" s="32" t="str">
        <f>IFERROR(IF(INDEX(Observaciones!I$3:I$147,MATCH(ROWS($A$3:A64),Observaciones!$N$3:$N$147,0))="","",INDEX(Observaciones!I$3:I$147,MATCH(ROWS($A$3:A64),Observaciones!$N$3:$N$147,0))),"")</f>
        <v/>
      </c>
      <c r="H64" s="33" t="str">
        <f>IFERROR(IF(INDEX(Observaciones!J$3:J$147,MATCH(ROWS($A$3:A64),Observaciones!$N$3:$N$147,0))="","",INDEX(Observaciones!J$3:J$147,MATCH(ROWS($A$3:A64),Observaciones!$N$3:$N$147,0))),"")</f>
        <v/>
      </c>
    </row>
    <row r="65" spans="1:8" s="10" customFormat="1" ht="28.95" customHeight="1" x14ac:dyDescent="0.3">
      <c r="A65" s="30" t="str">
        <f>IFERROR(IF(INDEX(Observaciones!A$3:A$147,MATCH(ROWS($A$3:A65),Observaciones!$N$3:$N$147,0))="","",INDEX(Observaciones!A$3:A$147,MATCH(ROWS($A$3:A65),Observaciones!$N$3:$N$147,0))),"")</f>
        <v/>
      </c>
      <c r="B65" s="31" t="str">
        <f>IFERROR(IF(INDEX(Observaciones!C$3:C$147,MATCH(ROWS($A$3:A65),Observaciones!$N$3:$N$147,0))="","",INDEX(Observaciones!C$3:C$147,MATCH(ROWS($A$3:A65),Observaciones!$N$3:$N$147,0))),"")</f>
        <v/>
      </c>
      <c r="C65" s="32" t="str">
        <f>IFERROR(IF(INDEX(Observaciones!B$3:B$147,MATCH(ROWS($A$3:A65),Observaciones!$N$3:$N$147,0))="","",INDEX(Observaciones!B$3:B$147,MATCH(ROWS($A$3:A65),Observaciones!$N$3:$N$147,0))),"")</f>
        <v/>
      </c>
      <c r="D65" s="30" t="str">
        <f>IFERROR(IF(INDEX(Observaciones!D$3:D$147,MATCH(ROWS($A$3:A65),Observaciones!$N$3:$N$147,0))="","",INDEX(Observaciones!D$3:D$147,MATCH(ROWS($A$3:A65),Observaciones!$N$3:$N$147,0))),"")</f>
        <v/>
      </c>
      <c r="E65" s="33" t="str">
        <f>IFERROR(IF(INDEX(Observaciones!E$3:E$147,MATCH(ROWS($A$3:A65),Observaciones!$N$3:$N$147,0))="","",INDEX(Observaciones!E$3:E$147,MATCH(ROWS($A$3:A65),Observaciones!$N$3:$N$147,0))),"")</f>
        <v/>
      </c>
      <c r="F65" s="30" t="str">
        <f>IFERROR(IF(INDEX(Observaciones!F$3:F$147,MATCH(ROWS($A$3:A65),Observaciones!$N$3:$N$147,0))="","",INDEX(Observaciones!F$3:F$147,MATCH(ROWS($A$3:A65),Observaciones!$N$3:$N$147,0))),"")</f>
        <v/>
      </c>
      <c r="G65" s="32" t="str">
        <f>IFERROR(IF(INDEX(Observaciones!I$3:I$147,MATCH(ROWS($A$3:A65),Observaciones!$N$3:$N$147,0))="","",INDEX(Observaciones!I$3:I$147,MATCH(ROWS($A$3:A65),Observaciones!$N$3:$N$147,0))),"")</f>
        <v/>
      </c>
      <c r="H65" s="33" t="str">
        <f>IFERROR(IF(INDEX(Observaciones!J$3:J$147,MATCH(ROWS($A$3:A65),Observaciones!$N$3:$N$147,0))="","",INDEX(Observaciones!J$3:J$147,MATCH(ROWS($A$3:A65),Observaciones!$N$3:$N$147,0))),"")</f>
        <v/>
      </c>
    </row>
    <row r="66" spans="1:8" s="10" customFormat="1" ht="28.95" customHeight="1" x14ac:dyDescent="0.3">
      <c r="A66" s="30" t="str">
        <f>IFERROR(IF(INDEX(Observaciones!A$3:A$147,MATCH(ROWS($A$3:A66),Observaciones!$N$3:$N$147,0))="","",INDEX(Observaciones!A$3:A$147,MATCH(ROWS($A$3:A66),Observaciones!$N$3:$N$147,0))),"")</f>
        <v/>
      </c>
      <c r="B66" s="31" t="str">
        <f>IFERROR(IF(INDEX(Observaciones!C$3:C$147,MATCH(ROWS($A$3:A66),Observaciones!$N$3:$N$147,0))="","",INDEX(Observaciones!C$3:C$147,MATCH(ROWS($A$3:A66),Observaciones!$N$3:$N$147,0))),"")</f>
        <v/>
      </c>
      <c r="C66" s="32" t="str">
        <f>IFERROR(IF(INDEX(Observaciones!B$3:B$147,MATCH(ROWS($A$3:A66),Observaciones!$N$3:$N$147,0))="","",INDEX(Observaciones!B$3:B$147,MATCH(ROWS($A$3:A66),Observaciones!$N$3:$N$147,0))),"")</f>
        <v/>
      </c>
      <c r="D66" s="30" t="str">
        <f>IFERROR(IF(INDEX(Observaciones!D$3:D$147,MATCH(ROWS($A$3:A66),Observaciones!$N$3:$N$147,0))="","",INDEX(Observaciones!D$3:D$147,MATCH(ROWS($A$3:A66),Observaciones!$N$3:$N$147,0))),"")</f>
        <v/>
      </c>
      <c r="E66" s="33" t="str">
        <f>IFERROR(IF(INDEX(Observaciones!E$3:E$147,MATCH(ROWS($A$3:A66),Observaciones!$N$3:$N$147,0))="","",INDEX(Observaciones!E$3:E$147,MATCH(ROWS($A$3:A66),Observaciones!$N$3:$N$147,0))),"")</f>
        <v/>
      </c>
      <c r="F66" s="30" t="str">
        <f>IFERROR(IF(INDEX(Observaciones!F$3:F$147,MATCH(ROWS($A$3:A66),Observaciones!$N$3:$N$147,0))="","",INDEX(Observaciones!F$3:F$147,MATCH(ROWS($A$3:A66),Observaciones!$N$3:$N$147,0))),"")</f>
        <v/>
      </c>
      <c r="G66" s="32" t="str">
        <f>IFERROR(IF(INDEX(Observaciones!I$3:I$147,MATCH(ROWS($A$3:A66),Observaciones!$N$3:$N$147,0))="","",INDEX(Observaciones!I$3:I$147,MATCH(ROWS($A$3:A66),Observaciones!$N$3:$N$147,0))),"")</f>
        <v/>
      </c>
      <c r="H66" s="33" t="str">
        <f>IFERROR(IF(INDEX(Observaciones!J$3:J$147,MATCH(ROWS($A$3:A66),Observaciones!$N$3:$N$147,0))="","",INDEX(Observaciones!J$3:J$147,MATCH(ROWS($A$3:A66),Observaciones!$N$3:$N$147,0))),"")</f>
        <v/>
      </c>
    </row>
    <row r="67" spans="1:8" s="10" customFormat="1" ht="28.95" customHeight="1" x14ac:dyDescent="0.3">
      <c r="A67" s="30" t="str">
        <f>IFERROR(IF(INDEX(Observaciones!A$3:A$147,MATCH(ROWS($A$3:A67),Observaciones!$N$3:$N$147,0))="","",INDEX(Observaciones!A$3:A$147,MATCH(ROWS($A$3:A67),Observaciones!$N$3:$N$147,0))),"")</f>
        <v/>
      </c>
      <c r="B67" s="31" t="str">
        <f>IFERROR(IF(INDEX(Observaciones!C$3:C$147,MATCH(ROWS($A$3:A67),Observaciones!$N$3:$N$147,0))="","",INDEX(Observaciones!C$3:C$147,MATCH(ROWS($A$3:A67),Observaciones!$N$3:$N$147,0))),"")</f>
        <v/>
      </c>
      <c r="C67" s="32" t="str">
        <f>IFERROR(IF(INDEX(Observaciones!B$3:B$147,MATCH(ROWS($A$3:A67),Observaciones!$N$3:$N$147,0))="","",INDEX(Observaciones!B$3:B$147,MATCH(ROWS($A$3:A67),Observaciones!$N$3:$N$147,0))),"")</f>
        <v/>
      </c>
      <c r="D67" s="30" t="str">
        <f>IFERROR(IF(INDEX(Observaciones!D$3:D$147,MATCH(ROWS($A$3:A67),Observaciones!$N$3:$N$147,0))="","",INDEX(Observaciones!D$3:D$147,MATCH(ROWS($A$3:A67),Observaciones!$N$3:$N$147,0))),"")</f>
        <v/>
      </c>
      <c r="E67" s="33" t="str">
        <f>IFERROR(IF(INDEX(Observaciones!E$3:E$147,MATCH(ROWS($A$3:A67),Observaciones!$N$3:$N$147,0))="","",INDEX(Observaciones!E$3:E$147,MATCH(ROWS($A$3:A67),Observaciones!$N$3:$N$147,0))),"")</f>
        <v/>
      </c>
      <c r="F67" s="30" t="str">
        <f>IFERROR(IF(INDEX(Observaciones!F$3:F$147,MATCH(ROWS($A$3:A67),Observaciones!$N$3:$N$147,0))="","",INDEX(Observaciones!F$3:F$147,MATCH(ROWS($A$3:A67),Observaciones!$N$3:$N$147,0))),"")</f>
        <v/>
      </c>
      <c r="G67" s="32" t="str">
        <f>IFERROR(IF(INDEX(Observaciones!I$3:I$147,MATCH(ROWS($A$3:A67),Observaciones!$N$3:$N$147,0))="","",INDEX(Observaciones!I$3:I$147,MATCH(ROWS($A$3:A67),Observaciones!$N$3:$N$147,0))),"")</f>
        <v/>
      </c>
      <c r="H67" s="33" t="str">
        <f>IFERROR(IF(INDEX(Observaciones!J$3:J$147,MATCH(ROWS($A$3:A67),Observaciones!$N$3:$N$147,0))="","",INDEX(Observaciones!J$3:J$147,MATCH(ROWS($A$3:A67),Observaciones!$N$3:$N$147,0))),"")</f>
        <v/>
      </c>
    </row>
    <row r="68" spans="1:8" s="10" customFormat="1" ht="28.95" customHeight="1" x14ac:dyDescent="0.3">
      <c r="A68" s="30" t="str">
        <f>IFERROR(IF(INDEX(Observaciones!A$3:A$147,MATCH(ROWS($A$3:A68),Observaciones!$N$3:$N$147,0))="","",INDEX(Observaciones!A$3:A$147,MATCH(ROWS($A$3:A68),Observaciones!$N$3:$N$147,0))),"")</f>
        <v/>
      </c>
      <c r="B68" s="31" t="str">
        <f>IFERROR(IF(INDEX(Observaciones!C$3:C$147,MATCH(ROWS($A$3:A68),Observaciones!$N$3:$N$147,0))="","",INDEX(Observaciones!C$3:C$147,MATCH(ROWS($A$3:A68),Observaciones!$N$3:$N$147,0))),"")</f>
        <v/>
      </c>
      <c r="C68" s="32" t="str">
        <f>IFERROR(IF(INDEX(Observaciones!B$3:B$147,MATCH(ROWS($A$3:A68),Observaciones!$N$3:$N$147,0))="","",INDEX(Observaciones!B$3:B$147,MATCH(ROWS($A$3:A68),Observaciones!$N$3:$N$147,0))),"")</f>
        <v/>
      </c>
      <c r="D68" s="30" t="str">
        <f>IFERROR(IF(INDEX(Observaciones!D$3:D$147,MATCH(ROWS($A$3:A68),Observaciones!$N$3:$N$147,0))="","",INDEX(Observaciones!D$3:D$147,MATCH(ROWS($A$3:A68),Observaciones!$N$3:$N$147,0))),"")</f>
        <v/>
      </c>
      <c r="E68" s="33" t="str">
        <f>IFERROR(IF(INDEX(Observaciones!E$3:E$147,MATCH(ROWS($A$3:A68),Observaciones!$N$3:$N$147,0))="","",INDEX(Observaciones!E$3:E$147,MATCH(ROWS($A$3:A68),Observaciones!$N$3:$N$147,0))),"")</f>
        <v/>
      </c>
      <c r="F68" s="30" t="str">
        <f>IFERROR(IF(INDEX(Observaciones!F$3:F$147,MATCH(ROWS($A$3:A68),Observaciones!$N$3:$N$147,0))="","",INDEX(Observaciones!F$3:F$147,MATCH(ROWS($A$3:A68),Observaciones!$N$3:$N$147,0))),"")</f>
        <v/>
      </c>
      <c r="G68" s="32" t="str">
        <f>IFERROR(IF(INDEX(Observaciones!I$3:I$147,MATCH(ROWS($A$3:A68),Observaciones!$N$3:$N$147,0))="","",INDEX(Observaciones!I$3:I$147,MATCH(ROWS($A$3:A68),Observaciones!$N$3:$N$147,0))),"")</f>
        <v/>
      </c>
      <c r="H68" s="33" t="str">
        <f>IFERROR(IF(INDEX(Observaciones!J$3:J$147,MATCH(ROWS($A$3:A68),Observaciones!$N$3:$N$147,0))="","",INDEX(Observaciones!J$3:J$147,MATCH(ROWS($A$3:A68),Observaciones!$N$3:$N$147,0))),"")</f>
        <v/>
      </c>
    </row>
    <row r="69" spans="1:8" s="10" customFormat="1" ht="28.95" customHeight="1" x14ac:dyDescent="0.3">
      <c r="A69" s="30" t="str">
        <f>IFERROR(IF(INDEX(Observaciones!A$3:A$147,MATCH(ROWS($A$3:A69),Observaciones!$N$3:$N$147,0))="","",INDEX(Observaciones!A$3:A$147,MATCH(ROWS($A$3:A69),Observaciones!$N$3:$N$147,0))),"")</f>
        <v/>
      </c>
      <c r="B69" s="31" t="str">
        <f>IFERROR(IF(INDEX(Observaciones!C$3:C$147,MATCH(ROWS($A$3:A69),Observaciones!$N$3:$N$147,0))="","",INDEX(Observaciones!C$3:C$147,MATCH(ROWS($A$3:A69),Observaciones!$N$3:$N$147,0))),"")</f>
        <v/>
      </c>
      <c r="C69" s="32" t="str">
        <f>IFERROR(IF(INDEX(Observaciones!B$3:B$147,MATCH(ROWS($A$3:A69),Observaciones!$N$3:$N$147,0))="","",INDEX(Observaciones!B$3:B$147,MATCH(ROWS($A$3:A69),Observaciones!$N$3:$N$147,0))),"")</f>
        <v/>
      </c>
      <c r="D69" s="30" t="str">
        <f>IFERROR(IF(INDEX(Observaciones!D$3:D$147,MATCH(ROWS($A$3:A69),Observaciones!$N$3:$N$147,0))="","",INDEX(Observaciones!D$3:D$147,MATCH(ROWS($A$3:A69),Observaciones!$N$3:$N$147,0))),"")</f>
        <v/>
      </c>
      <c r="E69" s="33" t="str">
        <f>IFERROR(IF(INDEX(Observaciones!E$3:E$147,MATCH(ROWS($A$3:A69),Observaciones!$N$3:$N$147,0))="","",INDEX(Observaciones!E$3:E$147,MATCH(ROWS($A$3:A69),Observaciones!$N$3:$N$147,0))),"")</f>
        <v/>
      </c>
      <c r="F69" s="30" t="str">
        <f>IFERROR(IF(INDEX(Observaciones!F$3:F$147,MATCH(ROWS($A$3:A69),Observaciones!$N$3:$N$147,0))="","",INDEX(Observaciones!F$3:F$147,MATCH(ROWS($A$3:A69),Observaciones!$N$3:$N$147,0))),"")</f>
        <v/>
      </c>
      <c r="G69" s="32" t="str">
        <f>IFERROR(IF(INDEX(Observaciones!I$3:I$147,MATCH(ROWS($A$3:A69),Observaciones!$N$3:$N$147,0))="","",INDEX(Observaciones!I$3:I$147,MATCH(ROWS($A$3:A69),Observaciones!$N$3:$N$147,0))),"")</f>
        <v/>
      </c>
      <c r="H69" s="33" t="str">
        <f>IFERROR(IF(INDEX(Observaciones!J$3:J$147,MATCH(ROWS($A$3:A69),Observaciones!$N$3:$N$147,0))="","",INDEX(Observaciones!J$3:J$147,MATCH(ROWS($A$3:A69),Observaciones!$N$3:$N$147,0))),"")</f>
        <v/>
      </c>
    </row>
    <row r="70" spans="1:8" s="10" customFormat="1" ht="28.95" customHeight="1" x14ac:dyDescent="0.3">
      <c r="A70" s="30" t="str">
        <f>IFERROR(IF(INDEX(Observaciones!A$3:A$147,MATCH(ROWS($A$3:A70),Observaciones!$N$3:$N$147,0))="","",INDEX(Observaciones!A$3:A$147,MATCH(ROWS($A$3:A70),Observaciones!$N$3:$N$147,0))),"")</f>
        <v/>
      </c>
      <c r="B70" s="31" t="str">
        <f>IFERROR(IF(INDEX(Observaciones!C$3:C$147,MATCH(ROWS($A$3:A70),Observaciones!$N$3:$N$147,0))="","",INDEX(Observaciones!C$3:C$147,MATCH(ROWS($A$3:A70),Observaciones!$N$3:$N$147,0))),"")</f>
        <v/>
      </c>
      <c r="C70" s="32" t="str">
        <f>IFERROR(IF(INDEX(Observaciones!B$3:B$147,MATCH(ROWS($A$3:A70),Observaciones!$N$3:$N$147,0))="","",INDEX(Observaciones!B$3:B$147,MATCH(ROWS($A$3:A70),Observaciones!$N$3:$N$147,0))),"")</f>
        <v/>
      </c>
      <c r="D70" s="30" t="str">
        <f>IFERROR(IF(INDEX(Observaciones!D$3:D$147,MATCH(ROWS($A$3:A70),Observaciones!$N$3:$N$147,0))="","",INDEX(Observaciones!D$3:D$147,MATCH(ROWS($A$3:A70),Observaciones!$N$3:$N$147,0))),"")</f>
        <v/>
      </c>
      <c r="E70" s="33" t="str">
        <f>IFERROR(IF(INDEX(Observaciones!E$3:E$147,MATCH(ROWS($A$3:A70),Observaciones!$N$3:$N$147,0))="","",INDEX(Observaciones!E$3:E$147,MATCH(ROWS($A$3:A70),Observaciones!$N$3:$N$147,0))),"")</f>
        <v/>
      </c>
      <c r="F70" s="30" t="str">
        <f>IFERROR(IF(INDEX(Observaciones!F$3:F$147,MATCH(ROWS($A$3:A70),Observaciones!$N$3:$N$147,0))="","",INDEX(Observaciones!F$3:F$147,MATCH(ROWS($A$3:A70),Observaciones!$N$3:$N$147,0))),"")</f>
        <v/>
      </c>
      <c r="G70" s="32" t="str">
        <f>IFERROR(IF(INDEX(Observaciones!I$3:I$147,MATCH(ROWS($A$3:A70),Observaciones!$N$3:$N$147,0))="","",INDEX(Observaciones!I$3:I$147,MATCH(ROWS($A$3:A70),Observaciones!$N$3:$N$147,0))),"")</f>
        <v/>
      </c>
      <c r="H70" s="33" t="str">
        <f>IFERROR(IF(INDEX(Observaciones!J$3:J$147,MATCH(ROWS($A$3:A70),Observaciones!$N$3:$N$147,0))="","",INDEX(Observaciones!J$3:J$147,MATCH(ROWS($A$3:A70),Observaciones!$N$3:$N$147,0))),"")</f>
        <v/>
      </c>
    </row>
    <row r="71" spans="1:8" s="10" customFormat="1" ht="28.95" customHeight="1" x14ac:dyDescent="0.3">
      <c r="A71" s="30" t="str">
        <f>IFERROR(IF(INDEX(Observaciones!A$3:A$147,MATCH(ROWS($A$3:A71),Observaciones!$N$3:$N$147,0))="","",INDEX(Observaciones!A$3:A$147,MATCH(ROWS($A$3:A71),Observaciones!$N$3:$N$147,0))),"")</f>
        <v/>
      </c>
      <c r="B71" s="31" t="str">
        <f>IFERROR(IF(INDEX(Observaciones!C$3:C$147,MATCH(ROWS($A$3:A71),Observaciones!$N$3:$N$147,0))="","",INDEX(Observaciones!C$3:C$147,MATCH(ROWS($A$3:A71),Observaciones!$N$3:$N$147,0))),"")</f>
        <v/>
      </c>
      <c r="C71" s="32" t="str">
        <f>IFERROR(IF(INDEX(Observaciones!B$3:B$147,MATCH(ROWS($A$3:A71),Observaciones!$N$3:$N$147,0))="","",INDEX(Observaciones!B$3:B$147,MATCH(ROWS($A$3:A71),Observaciones!$N$3:$N$147,0))),"")</f>
        <v/>
      </c>
      <c r="D71" s="30" t="str">
        <f>IFERROR(IF(INDEX(Observaciones!D$3:D$147,MATCH(ROWS($A$3:A71),Observaciones!$N$3:$N$147,0))="","",INDEX(Observaciones!D$3:D$147,MATCH(ROWS($A$3:A71),Observaciones!$N$3:$N$147,0))),"")</f>
        <v/>
      </c>
      <c r="E71" s="33" t="str">
        <f>IFERROR(IF(INDEX(Observaciones!E$3:E$147,MATCH(ROWS($A$3:A71),Observaciones!$N$3:$N$147,0))="","",INDEX(Observaciones!E$3:E$147,MATCH(ROWS($A$3:A71),Observaciones!$N$3:$N$147,0))),"")</f>
        <v/>
      </c>
      <c r="F71" s="30" t="str">
        <f>IFERROR(IF(INDEX(Observaciones!F$3:F$147,MATCH(ROWS($A$3:A71),Observaciones!$N$3:$N$147,0))="","",INDEX(Observaciones!F$3:F$147,MATCH(ROWS($A$3:A71),Observaciones!$N$3:$N$147,0))),"")</f>
        <v/>
      </c>
      <c r="G71" s="32" t="str">
        <f>IFERROR(IF(INDEX(Observaciones!I$3:I$147,MATCH(ROWS($A$3:A71),Observaciones!$N$3:$N$147,0))="","",INDEX(Observaciones!I$3:I$147,MATCH(ROWS($A$3:A71),Observaciones!$N$3:$N$147,0))),"")</f>
        <v/>
      </c>
      <c r="H71" s="33" t="str">
        <f>IFERROR(IF(INDEX(Observaciones!J$3:J$147,MATCH(ROWS($A$3:A71),Observaciones!$N$3:$N$147,0))="","",INDEX(Observaciones!J$3:J$147,MATCH(ROWS($A$3:A71),Observaciones!$N$3:$N$147,0))),"")</f>
        <v/>
      </c>
    </row>
    <row r="72" spans="1:8" s="10" customFormat="1" ht="28.95" customHeight="1" x14ac:dyDescent="0.3">
      <c r="A72" s="30" t="str">
        <f>IFERROR(IF(INDEX(Observaciones!A$3:A$147,MATCH(ROWS($A$3:A72),Observaciones!$N$3:$N$147,0))="","",INDEX(Observaciones!A$3:A$147,MATCH(ROWS($A$3:A72),Observaciones!$N$3:$N$147,0))),"")</f>
        <v/>
      </c>
      <c r="B72" s="31" t="str">
        <f>IFERROR(IF(INDEX(Observaciones!C$3:C$147,MATCH(ROWS($A$3:A72),Observaciones!$N$3:$N$147,0))="","",INDEX(Observaciones!C$3:C$147,MATCH(ROWS($A$3:A72),Observaciones!$N$3:$N$147,0))),"")</f>
        <v/>
      </c>
      <c r="C72" s="32" t="str">
        <f>IFERROR(IF(INDEX(Observaciones!B$3:B$147,MATCH(ROWS($A$3:A72),Observaciones!$N$3:$N$147,0))="","",INDEX(Observaciones!B$3:B$147,MATCH(ROWS($A$3:A72),Observaciones!$N$3:$N$147,0))),"")</f>
        <v/>
      </c>
      <c r="D72" s="30" t="str">
        <f>IFERROR(IF(INDEX(Observaciones!D$3:D$147,MATCH(ROWS($A$3:A72),Observaciones!$N$3:$N$147,0))="","",INDEX(Observaciones!D$3:D$147,MATCH(ROWS($A$3:A72),Observaciones!$N$3:$N$147,0))),"")</f>
        <v/>
      </c>
      <c r="E72" s="33" t="str">
        <f>IFERROR(IF(INDEX(Observaciones!E$3:E$147,MATCH(ROWS($A$3:A72),Observaciones!$N$3:$N$147,0))="","",INDEX(Observaciones!E$3:E$147,MATCH(ROWS($A$3:A72),Observaciones!$N$3:$N$147,0))),"")</f>
        <v/>
      </c>
      <c r="F72" s="30" t="str">
        <f>IFERROR(IF(INDEX(Observaciones!F$3:F$147,MATCH(ROWS($A$3:A72),Observaciones!$N$3:$N$147,0))="","",INDEX(Observaciones!F$3:F$147,MATCH(ROWS($A$3:A72),Observaciones!$N$3:$N$147,0))),"")</f>
        <v/>
      </c>
      <c r="G72" s="32" t="str">
        <f>IFERROR(IF(INDEX(Observaciones!I$3:I$147,MATCH(ROWS($A$3:A72),Observaciones!$N$3:$N$147,0))="","",INDEX(Observaciones!I$3:I$147,MATCH(ROWS($A$3:A72),Observaciones!$N$3:$N$147,0))),"")</f>
        <v/>
      </c>
      <c r="H72" s="33" t="str">
        <f>IFERROR(IF(INDEX(Observaciones!J$3:J$147,MATCH(ROWS($A$3:A72),Observaciones!$N$3:$N$147,0))="","",INDEX(Observaciones!J$3:J$147,MATCH(ROWS($A$3:A72),Observaciones!$N$3:$N$147,0))),"")</f>
        <v/>
      </c>
    </row>
    <row r="73" spans="1:8" s="10" customFormat="1" ht="28.95" customHeight="1" x14ac:dyDescent="0.3">
      <c r="A73" s="30" t="str">
        <f>IFERROR(IF(INDEX(Observaciones!A$3:A$147,MATCH(ROWS($A$3:A73),Observaciones!$N$3:$N$147,0))="","",INDEX(Observaciones!A$3:A$147,MATCH(ROWS($A$3:A73),Observaciones!$N$3:$N$147,0))),"")</f>
        <v/>
      </c>
      <c r="B73" s="31" t="str">
        <f>IFERROR(IF(INDEX(Observaciones!C$3:C$147,MATCH(ROWS($A$3:A73),Observaciones!$N$3:$N$147,0))="","",INDEX(Observaciones!C$3:C$147,MATCH(ROWS($A$3:A73),Observaciones!$N$3:$N$147,0))),"")</f>
        <v/>
      </c>
      <c r="C73" s="32" t="str">
        <f>IFERROR(IF(INDEX(Observaciones!B$3:B$147,MATCH(ROWS($A$3:A73),Observaciones!$N$3:$N$147,0))="","",INDEX(Observaciones!B$3:B$147,MATCH(ROWS($A$3:A73),Observaciones!$N$3:$N$147,0))),"")</f>
        <v/>
      </c>
      <c r="D73" s="30" t="str">
        <f>IFERROR(IF(INDEX(Observaciones!D$3:D$147,MATCH(ROWS($A$3:A73),Observaciones!$N$3:$N$147,0))="","",INDEX(Observaciones!D$3:D$147,MATCH(ROWS($A$3:A73),Observaciones!$N$3:$N$147,0))),"")</f>
        <v/>
      </c>
      <c r="E73" s="33" t="str">
        <f>IFERROR(IF(INDEX(Observaciones!E$3:E$147,MATCH(ROWS($A$3:A73),Observaciones!$N$3:$N$147,0))="","",INDEX(Observaciones!E$3:E$147,MATCH(ROWS($A$3:A73),Observaciones!$N$3:$N$147,0))),"")</f>
        <v/>
      </c>
      <c r="F73" s="30" t="str">
        <f>IFERROR(IF(INDEX(Observaciones!F$3:F$147,MATCH(ROWS($A$3:A73),Observaciones!$N$3:$N$147,0))="","",INDEX(Observaciones!F$3:F$147,MATCH(ROWS($A$3:A73),Observaciones!$N$3:$N$147,0))),"")</f>
        <v/>
      </c>
      <c r="G73" s="32" t="str">
        <f>IFERROR(IF(INDEX(Observaciones!I$3:I$147,MATCH(ROWS($A$3:A73),Observaciones!$N$3:$N$147,0))="","",INDEX(Observaciones!I$3:I$147,MATCH(ROWS($A$3:A73),Observaciones!$N$3:$N$147,0))),"")</f>
        <v/>
      </c>
      <c r="H73" s="33" t="str">
        <f>IFERROR(IF(INDEX(Observaciones!J$3:J$147,MATCH(ROWS($A$3:A73),Observaciones!$N$3:$N$147,0))="","",INDEX(Observaciones!J$3:J$147,MATCH(ROWS($A$3:A73),Observaciones!$N$3:$N$147,0))),"")</f>
        <v/>
      </c>
    </row>
    <row r="74" spans="1:8" s="10" customFormat="1" ht="28.95" customHeight="1" x14ac:dyDescent="0.3">
      <c r="A74" s="30" t="str">
        <f>IFERROR(IF(INDEX(Observaciones!A$3:A$147,MATCH(ROWS($A$3:A74),Observaciones!$N$3:$N$147,0))="","",INDEX(Observaciones!A$3:A$147,MATCH(ROWS($A$3:A74),Observaciones!$N$3:$N$147,0))),"")</f>
        <v/>
      </c>
      <c r="B74" s="31" t="str">
        <f>IFERROR(IF(INDEX(Observaciones!C$3:C$147,MATCH(ROWS($A$3:A74),Observaciones!$N$3:$N$147,0))="","",INDEX(Observaciones!C$3:C$147,MATCH(ROWS($A$3:A74),Observaciones!$N$3:$N$147,0))),"")</f>
        <v/>
      </c>
      <c r="C74" s="32" t="str">
        <f>IFERROR(IF(INDEX(Observaciones!B$3:B$147,MATCH(ROWS($A$3:A74),Observaciones!$N$3:$N$147,0))="","",INDEX(Observaciones!B$3:B$147,MATCH(ROWS($A$3:A74),Observaciones!$N$3:$N$147,0))),"")</f>
        <v/>
      </c>
      <c r="D74" s="30" t="str">
        <f>IFERROR(IF(INDEX(Observaciones!D$3:D$147,MATCH(ROWS($A$3:A74),Observaciones!$N$3:$N$147,0))="","",INDEX(Observaciones!D$3:D$147,MATCH(ROWS($A$3:A74),Observaciones!$N$3:$N$147,0))),"")</f>
        <v/>
      </c>
      <c r="E74" s="33" t="str">
        <f>IFERROR(IF(INDEX(Observaciones!E$3:E$147,MATCH(ROWS($A$3:A74),Observaciones!$N$3:$N$147,0))="","",INDEX(Observaciones!E$3:E$147,MATCH(ROWS($A$3:A74),Observaciones!$N$3:$N$147,0))),"")</f>
        <v/>
      </c>
      <c r="F74" s="30" t="str">
        <f>IFERROR(IF(INDEX(Observaciones!F$3:F$147,MATCH(ROWS($A$3:A74),Observaciones!$N$3:$N$147,0))="","",INDEX(Observaciones!F$3:F$147,MATCH(ROWS($A$3:A74),Observaciones!$N$3:$N$147,0))),"")</f>
        <v/>
      </c>
      <c r="G74" s="32" t="str">
        <f>IFERROR(IF(INDEX(Observaciones!I$3:I$147,MATCH(ROWS($A$3:A74),Observaciones!$N$3:$N$147,0))="","",INDEX(Observaciones!I$3:I$147,MATCH(ROWS($A$3:A74),Observaciones!$N$3:$N$147,0))),"")</f>
        <v/>
      </c>
      <c r="H74" s="33" t="str">
        <f>IFERROR(IF(INDEX(Observaciones!J$3:J$147,MATCH(ROWS($A$3:A74),Observaciones!$N$3:$N$147,0))="","",INDEX(Observaciones!J$3:J$147,MATCH(ROWS($A$3:A74),Observaciones!$N$3:$N$147,0))),"")</f>
        <v/>
      </c>
    </row>
    <row r="75" spans="1:8" s="10" customFormat="1" ht="28.95" customHeight="1" x14ac:dyDescent="0.3">
      <c r="A75" s="30" t="str">
        <f>IFERROR(IF(INDEX(Observaciones!A$3:A$147,MATCH(ROWS($A$3:A75),Observaciones!$N$3:$N$147,0))="","",INDEX(Observaciones!A$3:A$147,MATCH(ROWS($A$3:A75),Observaciones!$N$3:$N$147,0))),"")</f>
        <v/>
      </c>
      <c r="B75" s="31" t="str">
        <f>IFERROR(IF(INDEX(Observaciones!C$3:C$147,MATCH(ROWS($A$3:A75),Observaciones!$N$3:$N$147,0))="","",INDEX(Observaciones!C$3:C$147,MATCH(ROWS($A$3:A75),Observaciones!$N$3:$N$147,0))),"")</f>
        <v/>
      </c>
      <c r="C75" s="32" t="str">
        <f>IFERROR(IF(INDEX(Observaciones!B$3:B$147,MATCH(ROWS($A$3:A75),Observaciones!$N$3:$N$147,0))="","",INDEX(Observaciones!B$3:B$147,MATCH(ROWS($A$3:A75),Observaciones!$N$3:$N$147,0))),"")</f>
        <v/>
      </c>
      <c r="D75" s="30" t="str">
        <f>IFERROR(IF(INDEX(Observaciones!D$3:D$147,MATCH(ROWS($A$3:A75),Observaciones!$N$3:$N$147,0))="","",INDEX(Observaciones!D$3:D$147,MATCH(ROWS($A$3:A75),Observaciones!$N$3:$N$147,0))),"")</f>
        <v/>
      </c>
      <c r="E75" s="33" t="str">
        <f>IFERROR(IF(INDEX(Observaciones!E$3:E$147,MATCH(ROWS($A$3:A75),Observaciones!$N$3:$N$147,0))="","",INDEX(Observaciones!E$3:E$147,MATCH(ROWS($A$3:A75),Observaciones!$N$3:$N$147,0))),"")</f>
        <v/>
      </c>
      <c r="F75" s="30" t="str">
        <f>IFERROR(IF(INDEX(Observaciones!F$3:F$147,MATCH(ROWS($A$3:A75),Observaciones!$N$3:$N$147,0))="","",INDEX(Observaciones!F$3:F$147,MATCH(ROWS($A$3:A75),Observaciones!$N$3:$N$147,0))),"")</f>
        <v/>
      </c>
      <c r="G75" s="32" t="str">
        <f>IFERROR(IF(INDEX(Observaciones!I$3:I$147,MATCH(ROWS($A$3:A75),Observaciones!$N$3:$N$147,0))="","",INDEX(Observaciones!I$3:I$147,MATCH(ROWS($A$3:A75),Observaciones!$N$3:$N$147,0))),"")</f>
        <v/>
      </c>
      <c r="H75" s="33" t="str">
        <f>IFERROR(IF(INDEX(Observaciones!J$3:J$147,MATCH(ROWS($A$3:A75),Observaciones!$N$3:$N$147,0))="","",INDEX(Observaciones!J$3:J$147,MATCH(ROWS($A$3:A75),Observaciones!$N$3:$N$147,0))),"")</f>
        <v/>
      </c>
    </row>
    <row r="76" spans="1:8" s="10" customFormat="1" ht="28.95" customHeight="1" x14ac:dyDescent="0.3">
      <c r="A76" s="30" t="str">
        <f>IFERROR(IF(INDEX(Observaciones!A$3:A$147,MATCH(ROWS($A$3:A76),Observaciones!$N$3:$N$147,0))="","",INDEX(Observaciones!A$3:A$147,MATCH(ROWS($A$3:A76),Observaciones!$N$3:$N$147,0))),"")</f>
        <v/>
      </c>
      <c r="B76" s="31" t="str">
        <f>IFERROR(IF(INDEX(Observaciones!C$3:C$147,MATCH(ROWS($A$3:A76),Observaciones!$N$3:$N$147,0))="","",INDEX(Observaciones!C$3:C$147,MATCH(ROWS($A$3:A76),Observaciones!$N$3:$N$147,0))),"")</f>
        <v/>
      </c>
      <c r="C76" s="32" t="str">
        <f>IFERROR(IF(INDEX(Observaciones!B$3:B$147,MATCH(ROWS($A$3:A76),Observaciones!$N$3:$N$147,0))="","",INDEX(Observaciones!B$3:B$147,MATCH(ROWS($A$3:A76),Observaciones!$N$3:$N$147,0))),"")</f>
        <v/>
      </c>
      <c r="D76" s="30" t="str">
        <f>IFERROR(IF(INDEX(Observaciones!D$3:D$147,MATCH(ROWS($A$3:A76),Observaciones!$N$3:$N$147,0))="","",INDEX(Observaciones!D$3:D$147,MATCH(ROWS($A$3:A76),Observaciones!$N$3:$N$147,0))),"")</f>
        <v/>
      </c>
      <c r="E76" s="33" t="str">
        <f>IFERROR(IF(INDEX(Observaciones!E$3:E$147,MATCH(ROWS($A$3:A76),Observaciones!$N$3:$N$147,0))="","",INDEX(Observaciones!E$3:E$147,MATCH(ROWS($A$3:A76),Observaciones!$N$3:$N$147,0))),"")</f>
        <v/>
      </c>
      <c r="F76" s="30" t="str">
        <f>IFERROR(IF(INDEX(Observaciones!F$3:F$147,MATCH(ROWS($A$3:A76),Observaciones!$N$3:$N$147,0))="","",INDEX(Observaciones!F$3:F$147,MATCH(ROWS($A$3:A76),Observaciones!$N$3:$N$147,0))),"")</f>
        <v/>
      </c>
      <c r="G76" s="32" t="str">
        <f>IFERROR(IF(INDEX(Observaciones!I$3:I$147,MATCH(ROWS($A$3:A76),Observaciones!$N$3:$N$147,0))="","",INDEX(Observaciones!I$3:I$147,MATCH(ROWS($A$3:A76),Observaciones!$N$3:$N$147,0))),"")</f>
        <v/>
      </c>
      <c r="H76" s="33" t="str">
        <f>IFERROR(IF(INDEX(Observaciones!J$3:J$147,MATCH(ROWS($A$3:A76),Observaciones!$N$3:$N$147,0))="","",INDEX(Observaciones!J$3:J$147,MATCH(ROWS($A$3:A76),Observaciones!$N$3:$N$147,0))),"")</f>
        <v/>
      </c>
    </row>
    <row r="77" spans="1:8" s="10" customFormat="1" ht="28.95" customHeight="1" x14ac:dyDescent="0.3">
      <c r="A77" s="30" t="str">
        <f>IFERROR(IF(INDEX(Observaciones!A$3:A$147,MATCH(ROWS($A$3:A77),Observaciones!$N$3:$N$147,0))="","",INDEX(Observaciones!A$3:A$147,MATCH(ROWS($A$3:A77),Observaciones!$N$3:$N$147,0))),"")</f>
        <v/>
      </c>
      <c r="B77" s="31" t="str">
        <f>IFERROR(IF(INDEX(Observaciones!C$3:C$147,MATCH(ROWS($A$3:A77),Observaciones!$N$3:$N$147,0))="","",INDEX(Observaciones!C$3:C$147,MATCH(ROWS($A$3:A77),Observaciones!$N$3:$N$147,0))),"")</f>
        <v/>
      </c>
      <c r="C77" s="32" t="str">
        <f>IFERROR(IF(INDEX(Observaciones!B$3:B$147,MATCH(ROWS($A$3:A77),Observaciones!$N$3:$N$147,0))="","",INDEX(Observaciones!B$3:B$147,MATCH(ROWS($A$3:A77),Observaciones!$N$3:$N$147,0))),"")</f>
        <v/>
      </c>
      <c r="D77" s="30" t="str">
        <f>IFERROR(IF(INDEX(Observaciones!D$3:D$147,MATCH(ROWS($A$3:A77),Observaciones!$N$3:$N$147,0))="","",INDEX(Observaciones!D$3:D$147,MATCH(ROWS($A$3:A77),Observaciones!$N$3:$N$147,0))),"")</f>
        <v/>
      </c>
      <c r="E77" s="33" t="str">
        <f>IFERROR(IF(INDEX(Observaciones!E$3:E$147,MATCH(ROWS($A$3:A77),Observaciones!$N$3:$N$147,0))="","",INDEX(Observaciones!E$3:E$147,MATCH(ROWS($A$3:A77),Observaciones!$N$3:$N$147,0))),"")</f>
        <v/>
      </c>
      <c r="F77" s="30" t="str">
        <f>IFERROR(IF(INDEX(Observaciones!F$3:F$147,MATCH(ROWS($A$3:A77),Observaciones!$N$3:$N$147,0))="","",INDEX(Observaciones!F$3:F$147,MATCH(ROWS($A$3:A77),Observaciones!$N$3:$N$147,0))),"")</f>
        <v/>
      </c>
      <c r="G77" s="32" t="str">
        <f>IFERROR(IF(INDEX(Observaciones!I$3:I$147,MATCH(ROWS($A$3:A77),Observaciones!$N$3:$N$147,0))="","",INDEX(Observaciones!I$3:I$147,MATCH(ROWS($A$3:A77),Observaciones!$N$3:$N$147,0))),"")</f>
        <v/>
      </c>
      <c r="H77" s="33" t="str">
        <f>IFERROR(IF(INDEX(Observaciones!J$3:J$147,MATCH(ROWS($A$3:A77),Observaciones!$N$3:$N$147,0))="","",INDEX(Observaciones!J$3:J$147,MATCH(ROWS($A$3:A77),Observaciones!$N$3:$N$147,0))),"")</f>
        <v/>
      </c>
    </row>
    <row r="78" spans="1:8" s="10" customFormat="1" ht="28.95" customHeight="1" x14ac:dyDescent="0.3">
      <c r="A78" s="30" t="str">
        <f>IFERROR(IF(INDEX(Observaciones!A$3:A$147,MATCH(ROWS($A$3:A78),Observaciones!$N$3:$N$147,0))="","",INDEX(Observaciones!A$3:A$147,MATCH(ROWS($A$3:A78),Observaciones!$N$3:$N$147,0))),"")</f>
        <v/>
      </c>
      <c r="B78" s="31" t="str">
        <f>IFERROR(IF(INDEX(Observaciones!C$3:C$147,MATCH(ROWS($A$3:A78),Observaciones!$N$3:$N$147,0))="","",INDEX(Observaciones!C$3:C$147,MATCH(ROWS($A$3:A78),Observaciones!$N$3:$N$147,0))),"")</f>
        <v/>
      </c>
      <c r="C78" s="32" t="str">
        <f>IFERROR(IF(INDEX(Observaciones!B$3:B$147,MATCH(ROWS($A$3:A78),Observaciones!$N$3:$N$147,0))="","",INDEX(Observaciones!B$3:B$147,MATCH(ROWS($A$3:A78),Observaciones!$N$3:$N$147,0))),"")</f>
        <v/>
      </c>
      <c r="D78" s="30" t="str">
        <f>IFERROR(IF(INDEX(Observaciones!D$3:D$147,MATCH(ROWS($A$3:A78),Observaciones!$N$3:$N$147,0))="","",INDEX(Observaciones!D$3:D$147,MATCH(ROWS($A$3:A78),Observaciones!$N$3:$N$147,0))),"")</f>
        <v/>
      </c>
      <c r="E78" s="33" t="str">
        <f>IFERROR(IF(INDEX(Observaciones!E$3:E$147,MATCH(ROWS($A$3:A78),Observaciones!$N$3:$N$147,0))="","",INDEX(Observaciones!E$3:E$147,MATCH(ROWS($A$3:A78),Observaciones!$N$3:$N$147,0))),"")</f>
        <v/>
      </c>
      <c r="F78" s="30" t="str">
        <f>IFERROR(IF(INDEX(Observaciones!F$3:F$147,MATCH(ROWS($A$3:A78),Observaciones!$N$3:$N$147,0))="","",INDEX(Observaciones!F$3:F$147,MATCH(ROWS($A$3:A78),Observaciones!$N$3:$N$147,0))),"")</f>
        <v/>
      </c>
      <c r="G78" s="32" t="str">
        <f>IFERROR(IF(INDEX(Observaciones!I$3:I$147,MATCH(ROWS($A$3:A78),Observaciones!$N$3:$N$147,0))="","",INDEX(Observaciones!I$3:I$147,MATCH(ROWS($A$3:A78),Observaciones!$N$3:$N$147,0))),"")</f>
        <v/>
      </c>
      <c r="H78" s="33" t="str">
        <f>IFERROR(IF(INDEX(Observaciones!J$3:J$147,MATCH(ROWS($A$3:A78),Observaciones!$N$3:$N$147,0))="","",INDEX(Observaciones!J$3:J$147,MATCH(ROWS($A$3:A78),Observaciones!$N$3:$N$147,0))),"")</f>
        <v/>
      </c>
    </row>
    <row r="79" spans="1:8" s="10" customFormat="1" ht="28.95" customHeight="1" x14ac:dyDescent="0.3">
      <c r="A79" s="30" t="str">
        <f>IFERROR(IF(INDEX(Observaciones!A$3:A$147,MATCH(ROWS($A$3:A79),Observaciones!$N$3:$N$147,0))="","",INDEX(Observaciones!A$3:A$147,MATCH(ROWS($A$3:A79),Observaciones!$N$3:$N$147,0))),"")</f>
        <v/>
      </c>
      <c r="B79" s="31" t="str">
        <f>IFERROR(IF(INDEX(Observaciones!C$3:C$147,MATCH(ROWS($A$3:A79),Observaciones!$N$3:$N$147,0))="","",INDEX(Observaciones!C$3:C$147,MATCH(ROWS($A$3:A79),Observaciones!$N$3:$N$147,0))),"")</f>
        <v/>
      </c>
      <c r="C79" s="32" t="str">
        <f>IFERROR(IF(INDEX(Observaciones!B$3:B$147,MATCH(ROWS($A$3:A79),Observaciones!$N$3:$N$147,0))="","",INDEX(Observaciones!B$3:B$147,MATCH(ROWS($A$3:A79),Observaciones!$N$3:$N$147,0))),"")</f>
        <v/>
      </c>
      <c r="D79" s="30" t="str">
        <f>IFERROR(IF(INDEX(Observaciones!D$3:D$147,MATCH(ROWS($A$3:A79),Observaciones!$N$3:$N$147,0))="","",INDEX(Observaciones!D$3:D$147,MATCH(ROWS($A$3:A79),Observaciones!$N$3:$N$147,0))),"")</f>
        <v/>
      </c>
      <c r="E79" s="33" t="str">
        <f>IFERROR(IF(INDEX(Observaciones!E$3:E$147,MATCH(ROWS($A$3:A79),Observaciones!$N$3:$N$147,0))="","",INDEX(Observaciones!E$3:E$147,MATCH(ROWS($A$3:A79),Observaciones!$N$3:$N$147,0))),"")</f>
        <v/>
      </c>
      <c r="F79" s="30" t="str">
        <f>IFERROR(IF(INDEX(Observaciones!F$3:F$147,MATCH(ROWS($A$3:A79),Observaciones!$N$3:$N$147,0))="","",INDEX(Observaciones!F$3:F$147,MATCH(ROWS($A$3:A79),Observaciones!$N$3:$N$147,0))),"")</f>
        <v/>
      </c>
      <c r="G79" s="32" t="str">
        <f>IFERROR(IF(INDEX(Observaciones!I$3:I$147,MATCH(ROWS($A$3:A79),Observaciones!$N$3:$N$147,0))="","",INDEX(Observaciones!I$3:I$147,MATCH(ROWS($A$3:A79),Observaciones!$N$3:$N$147,0))),"")</f>
        <v/>
      </c>
      <c r="H79" s="33" t="str">
        <f>IFERROR(IF(INDEX(Observaciones!J$3:J$147,MATCH(ROWS($A$3:A79),Observaciones!$N$3:$N$147,0))="","",INDEX(Observaciones!J$3:J$147,MATCH(ROWS($A$3:A79),Observaciones!$N$3:$N$147,0))),"")</f>
        <v/>
      </c>
    </row>
    <row r="80" spans="1:8" s="10" customFormat="1" ht="28.95" customHeight="1" x14ac:dyDescent="0.3">
      <c r="A80" s="30" t="str">
        <f>IFERROR(IF(INDEX(Observaciones!A$3:A$147,MATCH(ROWS($A$3:A80),Observaciones!$N$3:$N$147,0))="","",INDEX(Observaciones!A$3:A$147,MATCH(ROWS($A$3:A80),Observaciones!$N$3:$N$147,0))),"")</f>
        <v/>
      </c>
      <c r="B80" s="31" t="str">
        <f>IFERROR(IF(INDEX(Observaciones!C$3:C$147,MATCH(ROWS($A$3:A80),Observaciones!$N$3:$N$147,0))="","",INDEX(Observaciones!C$3:C$147,MATCH(ROWS($A$3:A80),Observaciones!$N$3:$N$147,0))),"")</f>
        <v/>
      </c>
      <c r="C80" s="32" t="str">
        <f>IFERROR(IF(INDEX(Observaciones!B$3:B$147,MATCH(ROWS($A$3:A80),Observaciones!$N$3:$N$147,0))="","",INDEX(Observaciones!B$3:B$147,MATCH(ROWS($A$3:A80),Observaciones!$N$3:$N$147,0))),"")</f>
        <v/>
      </c>
      <c r="D80" s="30" t="str">
        <f>IFERROR(IF(INDEX(Observaciones!D$3:D$147,MATCH(ROWS($A$3:A80),Observaciones!$N$3:$N$147,0))="","",INDEX(Observaciones!D$3:D$147,MATCH(ROWS($A$3:A80),Observaciones!$N$3:$N$147,0))),"")</f>
        <v/>
      </c>
      <c r="E80" s="33" t="str">
        <f>IFERROR(IF(INDEX(Observaciones!E$3:E$147,MATCH(ROWS($A$3:A80),Observaciones!$N$3:$N$147,0))="","",INDEX(Observaciones!E$3:E$147,MATCH(ROWS($A$3:A80),Observaciones!$N$3:$N$147,0))),"")</f>
        <v/>
      </c>
      <c r="F80" s="30" t="str">
        <f>IFERROR(IF(INDEX(Observaciones!F$3:F$147,MATCH(ROWS($A$3:A80),Observaciones!$N$3:$N$147,0))="","",INDEX(Observaciones!F$3:F$147,MATCH(ROWS($A$3:A80),Observaciones!$N$3:$N$147,0))),"")</f>
        <v/>
      </c>
      <c r="G80" s="32" t="str">
        <f>IFERROR(IF(INDEX(Observaciones!I$3:I$147,MATCH(ROWS($A$3:A80),Observaciones!$N$3:$N$147,0))="","",INDEX(Observaciones!I$3:I$147,MATCH(ROWS($A$3:A80),Observaciones!$N$3:$N$147,0))),"")</f>
        <v/>
      </c>
      <c r="H80" s="33" t="str">
        <f>IFERROR(IF(INDEX(Observaciones!J$3:J$147,MATCH(ROWS($A$3:A80),Observaciones!$N$3:$N$147,0))="","",INDEX(Observaciones!J$3:J$147,MATCH(ROWS($A$3:A80),Observaciones!$N$3:$N$147,0))),"")</f>
        <v/>
      </c>
    </row>
    <row r="81" spans="1:8" s="10" customFormat="1" ht="28.95" customHeight="1" x14ac:dyDescent="0.3">
      <c r="A81" s="30" t="str">
        <f>IFERROR(IF(INDEX(Observaciones!A$3:A$147,MATCH(ROWS($A$3:A81),Observaciones!$N$3:$N$147,0))="","",INDEX(Observaciones!A$3:A$147,MATCH(ROWS($A$3:A81),Observaciones!$N$3:$N$147,0))),"")</f>
        <v/>
      </c>
      <c r="B81" s="31" t="str">
        <f>IFERROR(IF(INDEX(Observaciones!C$3:C$147,MATCH(ROWS($A$3:A81),Observaciones!$N$3:$N$147,0))="","",INDEX(Observaciones!C$3:C$147,MATCH(ROWS($A$3:A81),Observaciones!$N$3:$N$147,0))),"")</f>
        <v/>
      </c>
      <c r="C81" s="32" t="str">
        <f>IFERROR(IF(INDEX(Observaciones!B$3:B$147,MATCH(ROWS($A$3:A81),Observaciones!$N$3:$N$147,0))="","",INDEX(Observaciones!B$3:B$147,MATCH(ROWS($A$3:A81),Observaciones!$N$3:$N$147,0))),"")</f>
        <v/>
      </c>
      <c r="D81" s="30" t="str">
        <f>IFERROR(IF(INDEX(Observaciones!D$3:D$147,MATCH(ROWS($A$3:A81),Observaciones!$N$3:$N$147,0))="","",INDEX(Observaciones!D$3:D$147,MATCH(ROWS($A$3:A81),Observaciones!$N$3:$N$147,0))),"")</f>
        <v/>
      </c>
      <c r="E81" s="33" t="str">
        <f>IFERROR(IF(INDEX(Observaciones!E$3:E$147,MATCH(ROWS($A$3:A81),Observaciones!$N$3:$N$147,0))="","",INDEX(Observaciones!E$3:E$147,MATCH(ROWS($A$3:A81),Observaciones!$N$3:$N$147,0))),"")</f>
        <v/>
      </c>
      <c r="F81" s="30" t="str">
        <f>IFERROR(IF(INDEX(Observaciones!F$3:F$147,MATCH(ROWS($A$3:A81),Observaciones!$N$3:$N$147,0))="","",INDEX(Observaciones!F$3:F$147,MATCH(ROWS($A$3:A81),Observaciones!$N$3:$N$147,0))),"")</f>
        <v/>
      </c>
      <c r="G81" s="32" t="str">
        <f>IFERROR(IF(INDEX(Observaciones!I$3:I$147,MATCH(ROWS($A$3:A81),Observaciones!$N$3:$N$147,0))="","",INDEX(Observaciones!I$3:I$147,MATCH(ROWS($A$3:A81),Observaciones!$N$3:$N$147,0))),"")</f>
        <v/>
      </c>
      <c r="H81" s="33" t="str">
        <f>IFERROR(IF(INDEX(Observaciones!J$3:J$147,MATCH(ROWS($A$3:A81),Observaciones!$N$3:$N$147,0))="","",INDEX(Observaciones!J$3:J$147,MATCH(ROWS($A$3:A81),Observaciones!$N$3:$N$147,0))),"")</f>
        <v/>
      </c>
    </row>
    <row r="82" spans="1:8" s="10" customFormat="1" ht="28.95" customHeight="1" x14ac:dyDescent="0.3">
      <c r="A82" s="30" t="str">
        <f>IFERROR(IF(INDEX(Observaciones!A$3:A$147,MATCH(ROWS($A$3:A82),Observaciones!$N$3:$N$147,0))="","",INDEX(Observaciones!A$3:A$147,MATCH(ROWS($A$3:A82),Observaciones!$N$3:$N$147,0))),"")</f>
        <v/>
      </c>
      <c r="B82" s="31" t="str">
        <f>IFERROR(IF(INDEX(Observaciones!C$3:C$147,MATCH(ROWS($A$3:A82),Observaciones!$N$3:$N$147,0))="","",INDEX(Observaciones!C$3:C$147,MATCH(ROWS($A$3:A82),Observaciones!$N$3:$N$147,0))),"")</f>
        <v/>
      </c>
      <c r="C82" s="32" t="str">
        <f>IFERROR(IF(INDEX(Observaciones!B$3:B$147,MATCH(ROWS($A$3:A82),Observaciones!$N$3:$N$147,0))="","",INDEX(Observaciones!B$3:B$147,MATCH(ROWS($A$3:A82),Observaciones!$N$3:$N$147,0))),"")</f>
        <v/>
      </c>
      <c r="D82" s="30" t="str">
        <f>IFERROR(IF(INDEX(Observaciones!D$3:D$147,MATCH(ROWS($A$3:A82),Observaciones!$N$3:$N$147,0))="","",INDEX(Observaciones!D$3:D$147,MATCH(ROWS($A$3:A82),Observaciones!$N$3:$N$147,0))),"")</f>
        <v/>
      </c>
      <c r="E82" s="33" t="str">
        <f>IFERROR(IF(INDEX(Observaciones!E$3:E$147,MATCH(ROWS($A$3:A82),Observaciones!$N$3:$N$147,0))="","",INDEX(Observaciones!E$3:E$147,MATCH(ROWS($A$3:A82),Observaciones!$N$3:$N$147,0))),"")</f>
        <v/>
      </c>
      <c r="F82" s="30" t="str">
        <f>IFERROR(IF(INDEX(Observaciones!F$3:F$147,MATCH(ROWS($A$3:A82),Observaciones!$N$3:$N$147,0))="","",INDEX(Observaciones!F$3:F$147,MATCH(ROWS($A$3:A82),Observaciones!$N$3:$N$147,0))),"")</f>
        <v/>
      </c>
      <c r="G82" s="32" t="str">
        <f>IFERROR(IF(INDEX(Observaciones!I$3:I$147,MATCH(ROWS($A$3:A82),Observaciones!$N$3:$N$147,0))="","",INDEX(Observaciones!I$3:I$147,MATCH(ROWS($A$3:A82),Observaciones!$N$3:$N$147,0))),"")</f>
        <v/>
      </c>
      <c r="H82" s="33" t="str">
        <f>IFERROR(IF(INDEX(Observaciones!J$3:J$147,MATCH(ROWS($A$3:A82),Observaciones!$N$3:$N$147,0))="","",INDEX(Observaciones!J$3:J$147,MATCH(ROWS($A$3:A82),Observaciones!$N$3:$N$147,0))),"")</f>
        <v/>
      </c>
    </row>
    <row r="83" spans="1:8" s="10" customFormat="1" ht="28.95" customHeight="1" x14ac:dyDescent="0.3">
      <c r="A83" s="30" t="str">
        <f>IFERROR(IF(INDEX(Observaciones!A$3:A$147,MATCH(ROWS($A$3:A83),Observaciones!$N$3:$N$147,0))="","",INDEX(Observaciones!A$3:A$147,MATCH(ROWS($A$3:A83),Observaciones!$N$3:$N$147,0))),"")</f>
        <v/>
      </c>
      <c r="B83" s="31" t="str">
        <f>IFERROR(IF(INDEX(Observaciones!C$3:C$147,MATCH(ROWS($A$3:A83),Observaciones!$N$3:$N$147,0))="","",INDEX(Observaciones!C$3:C$147,MATCH(ROWS($A$3:A83),Observaciones!$N$3:$N$147,0))),"")</f>
        <v/>
      </c>
      <c r="C83" s="32" t="str">
        <f>IFERROR(IF(INDEX(Observaciones!B$3:B$147,MATCH(ROWS($A$3:A83),Observaciones!$N$3:$N$147,0))="","",INDEX(Observaciones!B$3:B$147,MATCH(ROWS($A$3:A83),Observaciones!$N$3:$N$147,0))),"")</f>
        <v/>
      </c>
      <c r="D83" s="30" t="str">
        <f>IFERROR(IF(INDEX(Observaciones!D$3:D$147,MATCH(ROWS($A$3:A83),Observaciones!$N$3:$N$147,0))="","",INDEX(Observaciones!D$3:D$147,MATCH(ROWS($A$3:A83),Observaciones!$N$3:$N$147,0))),"")</f>
        <v/>
      </c>
      <c r="E83" s="33" t="str">
        <f>IFERROR(IF(INDEX(Observaciones!E$3:E$147,MATCH(ROWS($A$3:A83),Observaciones!$N$3:$N$147,0))="","",INDEX(Observaciones!E$3:E$147,MATCH(ROWS($A$3:A83),Observaciones!$N$3:$N$147,0))),"")</f>
        <v/>
      </c>
      <c r="F83" s="30" t="str">
        <f>IFERROR(IF(INDEX(Observaciones!F$3:F$147,MATCH(ROWS($A$3:A83),Observaciones!$N$3:$N$147,0))="","",INDEX(Observaciones!F$3:F$147,MATCH(ROWS($A$3:A83),Observaciones!$N$3:$N$147,0))),"")</f>
        <v/>
      </c>
      <c r="G83" s="32" t="str">
        <f>IFERROR(IF(INDEX(Observaciones!I$3:I$147,MATCH(ROWS($A$3:A83),Observaciones!$N$3:$N$147,0))="","",INDEX(Observaciones!I$3:I$147,MATCH(ROWS($A$3:A83),Observaciones!$N$3:$N$147,0))),"")</f>
        <v/>
      </c>
      <c r="H83" s="33" t="str">
        <f>IFERROR(IF(INDEX(Observaciones!J$3:J$147,MATCH(ROWS($A$3:A83),Observaciones!$N$3:$N$147,0))="","",INDEX(Observaciones!J$3:J$147,MATCH(ROWS($A$3:A83),Observaciones!$N$3:$N$147,0))),"")</f>
        <v/>
      </c>
    </row>
    <row r="84" spans="1:8" s="10" customFormat="1" ht="28.95" customHeight="1" x14ac:dyDescent="0.3">
      <c r="A84" s="30" t="str">
        <f>IFERROR(IF(INDEX(Observaciones!A$3:A$147,MATCH(ROWS($A$3:A84),Observaciones!$N$3:$N$147,0))="","",INDEX(Observaciones!A$3:A$147,MATCH(ROWS($A$3:A84),Observaciones!$N$3:$N$147,0))),"")</f>
        <v/>
      </c>
      <c r="B84" s="31" t="str">
        <f>IFERROR(IF(INDEX(Observaciones!C$3:C$147,MATCH(ROWS($A$3:A84),Observaciones!$N$3:$N$147,0))="","",INDEX(Observaciones!C$3:C$147,MATCH(ROWS($A$3:A84),Observaciones!$N$3:$N$147,0))),"")</f>
        <v/>
      </c>
      <c r="C84" s="32" t="str">
        <f>IFERROR(IF(INDEX(Observaciones!B$3:B$147,MATCH(ROWS($A$3:A84),Observaciones!$N$3:$N$147,0))="","",INDEX(Observaciones!B$3:B$147,MATCH(ROWS($A$3:A84),Observaciones!$N$3:$N$147,0))),"")</f>
        <v/>
      </c>
      <c r="D84" s="30" t="str">
        <f>IFERROR(IF(INDEX(Observaciones!D$3:D$147,MATCH(ROWS($A$3:A84),Observaciones!$N$3:$N$147,0))="","",INDEX(Observaciones!D$3:D$147,MATCH(ROWS($A$3:A84),Observaciones!$N$3:$N$147,0))),"")</f>
        <v/>
      </c>
      <c r="E84" s="33" t="str">
        <f>IFERROR(IF(INDEX(Observaciones!E$3:E$147,MATCH(ROWS($A$3:A84),Observaciones!$N$3:$N$147,0))="","",INDEX(Observaciones!E$3:E$147,MATCH(ROWS($A$3:A84),Observaciones!$N$3:$N$147,0))),"")</f>
        <v/>
      </c>
      <c r="F84" s="30" t="str">
        <f>IFERROR(IF(INDEX(Observaciones!F$3:F$147,MATCH(ROWS($A$3:A84),Observaciones!$N$3:$N$147,0))="","",INDEX(Observaciones!F$3:F$147,MATCH(ROWS($A$3:A84),Observaciones!$N$3:$N$147,0))),"")</f>
        <v/>
      </c>
      <c r="G84" s="32" t="str">
        <f>IFERROR(IF(INDEX(Observaciones!I$3:I$147,MATCH(ROWS($A$3:A84),Observaciones!$N$3:$N$147,0))="","",INDEX(Observaciones!I$3:I$147,MATCH(ROWS($A$3:A84),Observaciones!$N$3:$N$147,0))),"")</f>
        <v/>
      </c>
      <c r="H84" s="33" t="str">
        <f>IFERROR(IF(INDEX(Observaciones!J$3:J$147,MATCH(ROWS($A$3:A84),Observaciones!$N$3:$N$147,0))="","",INDEX(Observaciones!J$3:J$147,MATCH(ROWS($A$3:A84),Observaciones!$N$3:$N$147,0))),"")</f>
        <v/>
      </c>
    </row>
    <row r="85" spans="1:8" s="10" customFormat="1" ht="28.95" customHeight="1" x14ac:dyDescent="0.3">
      <c r="A85" s="30" t="str">
        <f>IFERROR(IF(INDEX(Observaciones!A$3:A$147,MATCH(ROWS($A$3:A85),Observaciones!$N$3:$N$147,0))="","",INDEX(Observaciones!A$3:A$147,MATCH(ROWS($A$3:A85),Observaciones!$N$3:$N$147,0))),"")</f>
        <v/>
      </c>
      <c r="B85" s="31" t="str">
        <f>IFERROR(IF(INDEX(Observaciones!C$3:C$147,MATCH(ROWS($A$3:A85),Observaciones!$N$3:$N$147,0))="","",INDEX(Observaciones!C$3:C$147,MATCH(ROWS($A$3:A85),Observaciones!$N$3:$N$147,0))),"")</f>
        <v/>
      </c>
      <c r="C85" s="32" t="str">
        <f>IFERROR(IF(INDEX(Observaciones!B$3:B$147,MATCH(ROWS($A$3:A85),Observaciones!$N$3:$N$147,0))="","",INDEX(Observaciones!B$3:B$147,MATCH(ROWS($A$3:A85),Observaciones!$N$3:$N$147,0))),"")</f>
        <v/>
      </c>
      <c r="D85" s="30" t="str">
        <f>IFERROR(IF(INDEX(Observaciones!D$3:D$147,MATCH(ROWS($A$3:A85),Observaciones!$N$3:$N$147,0))="","",INDEX(Observaciones!D$3:D$147,MATCH(ROWS($A$3:A85),Observaciones!$N$3:$N$147,0))),"")</f>
        <v/>
      </c>
      <c r="E85" s="33" t="str">
        <f>IFERROR(IF(INDEX(Observaciones!E$3:E$147,MATCH(ROWS($A$3:A85),Observaciones!$N$3:$N$147,0))="","",INDEX(Observaciones!E$3:E$147,MATCH(ROWS($A$3:A85),Observaciones!$N$3:$N$147,0))),"")</f>
        <v/>
      </c>
      <c r="F85" s="30" t="str">
        <f>IFERROR(IF(INDEX(Observaciones!F$3:F$147,MATCH(ROWS($A$3:A85),Observaciones!$N$3:$N$147,0))="","",INDEX(Observaciones!F$3:F$147,MATCH(ROWS($A$3:A85),Observaciones!$N$3:$N$147,0))),"")</f>
        <v/>
      </c>
      <c r="G85" s="32" t="str">
        <f>IFERROR(IF(INDEX(Observaciones!I$3:I$147,MATCH(ROWS($A$3:A85),Observaciones!$N$3:$N$147,0))="","",INDEX(Observaciones!I$3:I$147,MATCH(ROWS($A$3:A85),Observaciones!$N$3:$N$147,0))),"")</f>
        <v/>
      </c>
      <c r="H85" s="33" t="str">
        <f>IFERROR(IF(INDEX(Observaciones!J$3:J$147,MATCH(ROWS($A$3:A85),Observaciones!$N$3:$N$147,0))="","",INDEX(Observaciones!J$3:J$147,MATCH(ROWS($A$3:A85),Observaciones!$N$3:$N$147,0))),"")</f>
        <v/>
      </c>
    </row>
    <row r="86" spans="1:8" s="10" customFormat="1" ht="28.95" customHeight="1" x14ac:dyDescent="0.3">
      <c r="A86" s="30" t="str">
        <f>IFERROR(IF(INDEX(Observaciones!A$3:A$147,MATCH(ROWS($A$3:A86),Observaciones!$N$3:$N$147,0))="","",INDEX(Observaciones!A$3:A$147,MATCH(ROWS($A$3:A86),Observaciones!$N$3:$N$147,0))),"")</f>
        <v/>
      </c>
      <c r="B86" s="31" t="str">
        <f>IFERROR(IF(INDEX(Observaciones!C$3:C$147,MATCH(ROWS($A$3:A86),Observaciones!$N$3:$N$147,0))="","",INDEX(Observaciones!C$3:C$147,MATCH(ROWS($A$3:A86),Observaciones!$N$3:$N$147,0))),"")</f>
        <v/>
      </c>
      <c r="C86" s="32" t="str">
        <f>IFERROR(IF(INDEX(Observaciones!B$3:B$147,MATCH(ROWS($A$3:A86),Observaciones!$N$3:$N$147,0))="","",INDEX(Observaciones!B$3:B$147,MATCH(ROWS($A$3:A86),Observaciones!$N$3:$N$147,0))),"")</f>
        <v/>
      </c>
      <c r="D86" s="30" t="str">
        <f>IFERROR(IF(INDEX(Observaciones!D$3:D$147,MATCH(ROWS($A$3:A86),Observaciones!$N$3:$N$147,0))="","",INDEX(Observaciones!D$3:D$147,MATCH(ROWS($A$3:A86),Observaciones!$N$3:$N$147,0))),"")</f>
        <v/>
      </c>
      <c r="E86" s="33" t="str">
        <f>IFERROR(IF(INDEX(Observaciones!E$3:E$147,MATCH(ROWS($A$3:A86),Observaciones!$N$3:$N$147,0))="","",INDEX(Observaciones!E$3:E$147,MATCH(ROWS($A$3:A86),Observaciones!$N$3:$N$147,0))),"")</f>
        <v/>
      </c>
      <c r="F86" s="30" t="str">
        <f>IFERROR(IF(INDEX(Observaciones!F$3:F$147,MATCH(ROWS($A$3:A86),Observaciones!$N$3:$N$147,0))="","",INDEX(Observaciones!F$3:F$147,MATCH(ROWS($A$3:A86),Observaciones!$N$3:$N$147,0))),"")</f>
        <v/>
      </c>
      <c r="G86" s="32" t="str">
        <f>IFERROR(IF(INDEX(Observaciones!I$3:I$147,MATCH(ROWS($A$3:A86),Observaciones!$N$3:$N$147,0))="","",INDEX(Observaciones!I$3:I$147,MATCH(ROWS($A$3:A86),Observaciones!$N$3:$N$147,0))),"")</f>
        <v/>
      </c>
      <c r="H86" s="33" t="str">
        <f>IFERROR(IF(INDEX(Observaciones!J$3:J$147,MATCH(ROWS($A$3:A86),Observaciones!$N$3:$N$147,0))="","",INDEX(Observaciones!J$3:J$147,MATCH(ROWS($A$3:A86),Observaciones!$N$3:$N$147,0))),"")</f>
        <v/>
      </c>
    </row>
    <row r="87" spans="1:8" s="10" customFormat="1" ht="28.95" customHeight="1" x14ac:dyDescent="0.3">
      <c r="A87" s="30" t="str">
        <f>IFERROR(IF(INDEX(Observaciones!A$3:A$147,MATCH(ROWS($A$3:A87),Observaciones!$N$3:$N$147,0))="","",INDEX(Observaciones!A$3:A$147,MATCH(ROWS($A$3:A87),Observaciones!$N$3:$N$147,0))),"")</f>
        <v/>
      </c>
      <c r="B87" s="31" t="str">
        <f>IFERROR(IF(INDEX(Observaciones!C$3:C$147,MATCH(ROWS($A$3:A87),Observaciones!$N$3:$N$147,0))="","",INDEX(Observaciones!C$3:C$147,MATCH(ROWS($A$3:A87),Observaciones!$N$3:$N$147,0))),"")</f>
        <v/>
      </c>
      <c r="C87" s="32" t="str">
        <f>IFERROR(IF(INDEX(Observaciones!B$3:B$147,MATCH(ROWS($A$3:A87),Observaciones!$N$3:$N$147,0))="","",INDEX(Observaciones!B$3:B$147,MATCH(ROWS($A$3:A87),Observaciones!$N$3:$N$147,0))),"")</f>
        <v/>
      </c>
      <c r="D87" s="30" t="str">
        <f>IFERROR(IF(INDEX(Observaciones!D$3:D$147,MATCH(ROWS($A$3:A87),Observaciones!$N$3:$N$147,0))="","",INDEX(Observaciones!D$3:D$147,MATCH(ROWS($A$3:A87),Observaciones!$N$3:$N$147,0))),"")</f>
        <v/>
      </c>
      <c r="E87" s="33" t="str">
        <f>IFERROR(IF(INDEX(Observaciones!E$3:E$147,MATCH(ROWS($A$3:A87),Observaciones!$N$3:$N$147,0))="","",INDEX(Observaciones!E$3:E$147,MATCH(ROWS($A$3:A87),Observaciones!$N$3:$N$147,0))),"")</f>
        <v/>
      </c>
      <c r="F87" s="30" t="str">
        <f>IFERROR(IF(INDEX(Observaciones!F$3:F$147,MATCH(ROWS($A$3:A87),Observaciones!$N$3:$N$147,0))="","",INDEX(Observaciones!F$3:F$147,MATCH(ROWS($A$3:A87),Observaciones!$N$3:$N$147,0))),"")</f>
        <v/>
      </c>
      <c r="G87" s="32" t="str">
        <f>IFERROR(IF(INDEX(Observaciones!I$3:I$147,MATCH(ROWS($A$3:A87),Observaciones!$N$3:$N$147,0))="","",INDEX(Observaciones!I$3:I$147,MATCH(ROWS($A$3:A87),Observaciones!$N$3:$N$147,0))),"")</f>
        <v/>
      </c>
      <c r="H87" s="33" t="str">
        <f>IFERROR(IF(INDEX(Observaciones!J$3:J$147,MATCH(ROWS($A$3:A87),Observaciones!$N$3:$N$147,0))="","",INDEX(Observaciones!J$3:J$147,MATCH(ROWS($A$3:A87),Observaciones!$N$3:$N$147,0))),"")</f>
        <v/>
      </c>
    </row>
    <row r="88" spans="1:8" s="10" customFormat="1" ht="28.95" customHeight="1" x14ac:dyDescent="0.3">
      <c r="A88" s="30" t="str">
        <f>IFERROR(IF(INDEX(Observaciones!A$3:A$147,MATCH(ROWS($A$3:A88),Observaciones!$N$3:$N$147,0))="","",INDEX(Observaciones!A$3:A$147,MATCH(ROWS($A$3:A88),Observaciones!$N$3:$N$147,0))),"")</f>
        <v/>
      </c>
      <c r="B88" s="31" t="str">
        <f>IFERROR(IF(INDEX(Observaciones!C$3:C$147,MATCH(ROWS($A$3:A88),Observaciones!$N$3:$N$147,0))="","",INDEX(Observaciones!C$3:C$147,MATCH(ROWS($A$3:A88),Observaciones!$N$3:$N$147,0))),"")</f>
        <v/>
      </c>
      <c r="C88" s="32" t="str">
        <f>IFERROR(IF(INDEX(Observaciones!B$3:B$147,MATCH(ROWS($A$3:A88),Observaciones!$N$3:$N$147,0))="","",INDEX(Observaciones!B$3:B$147,MATCH(ROWS($A$3:A88),Observaciones!$N$3:$N$147,0))),"")</f>
        <v/>
      </c>
      <c r="D88" s="30" t="str">
        <f>IFERROR(IF(INDEX(Observaciones!D$3:D$147,MATCH(ROWS($A$3:A88),Observaciones!$N$3:$N$147,0))="","",INDEX(Observaciones!D$3:D$147,MATCH(ROWS($A$3:A88),Observaciones!$N$3:$N$147,0))),"")</f>
        <v/>
      </c>
      <c r="E88" s="33" t="str">
        <f>IFERROR(IF(INDEX(Observaciones!E$3:E$147,MATCH(ROWS($A$3:A88),Observaciones!$N$3:$N$147,0))="","",INDEX(Observaciones!E$3:E$147,MATCH(ROWS($A$3:A88),Observaciones!$N$3:$N$147,0))),"")</f>
        <v/>
      </c>
      <c r="F88" s="30" t="str">
        <f>IFERROR(IF(INDEX(Observaciones!F$3:F$147,MATCH(ROWS($A$3:A88),Observaciones!$N$3:$N$147,0))="","",INDEX(Observaciones!F$3:F$147,MATCH(ROWS($A$3:A88),Observaciones!$N$3:$N$147,0))),"")</f>
        <v/>
      </c>
      <c r="G88" s="32" t="str">
        <f>IFERROR(IF(INDEX(Observaciones!I$3:I$147,MATCH(ROWS($A$3:A88),Observaciones!$N$3:$N$147,0))="","",INDEX(Observaciones!I$3:I$147,MATCH(ROWS($A$3:A88),Observaciones!$N$3:$N$147,0))),"")</f>
        <v/>
      </c>
      <c r="H88" s="33" t="str">
        <f>IFERROR(IF(INDEX(Observaciones!J$3:J$147,MATCH(ROWS($A$3:A88),Observaciones!$N$3:$N$147,0))="","",INDEX(Observaciones!J$3:J$147,MATCH(ROWS($A$3:A88),Observaciones!$N$3:$N$147,0))),"")</f>
        <v/>
      </c>
    </row>
    <row r="89" spans="1:8" s="10" customFormat="1" ht="28.95" customHeight="1" x14ac:dyDescent="0.3">
      <c r="A89" s="30" t="str">
        <f>IFERROR(IF(INDEX(Observaciones!A$3:A$147,MATCH(ROWS($A$3:A89),Observaciones!$N$3:$N$147,0))="","",INDEX(Observaciones!A$3:A$147,MATCH(ROWS($A$3:A89),Observaciones!$N$3:$N$147,0))),"")</f>
        <v/>
      </c>
      <c r="B89" s="31" t="str">
        <f>IFERROR(IF(INDEX(Observaciones!C$3:C$147,MATCH(ROWS($A$3:A89),Observaciones!$N$3:$N$147,0))="","",INDEX(Observaciones!C$3:C$147,MATCH(ROWS($A$3:A89),Observaciones!$N$3:$N$147,0))),"")</f>
        <v/>
      </c>
      <c r="C89" s="32" t="str">
        <f>IFERROR(IF(INDEX(Observaciones!B$3:B$147,MATCH(ROWS($A$3:A89),Observaciones!$N$3:$N$147,0))="","",INDEX(Observaciones!B$3:B$147,MATCH(ROWS($A$3:A89),Observaciones!$N$3:$N$147,0))),"")</f>
        <v/>
      </c>
      <c r="D89" s="30" t="str">
        <f>IFERROR(IF(INDEX(Observaciones!D$3:D$147,MATCH(ROWS($A$3:A89),Observaciones!$N$3:$N$147,0))="","",INDEX(Observaciones!D$3:D$147,MATCH(ROWS($A$3:A89),Observaciones!$N$3:$N$147,0))),"")</f>
        <v/>
      </c>
      <c r="E89" s="33" t="str">
        <f>IFERROR(IF(INDEX(Observaciones!E$3:E$147,MATCH(ROWS($A$3:A89),Observaciones!$N$3:$N$147,0))="","",INDEX(Observaciones!E$3:E$147,MATCH(ROWS($A$3:A89),Observaciones!$N$3:$N$147,0))),"")</f>
        <v/>
      </c>
      <c r="F89" s="30" t="str">
        <f>IFERROR(IF(INDEX(Observaciones!F$3:F$147,MATCH(ROWS($A$3:A89),Observaciones!$N$3:$N$147,0))="","",INDEX(Observaciones!F$3:F$147,MATCH(ROWS($A$3:A89),Observaciones!$N$3:$N$147,0))),"")</f>
        <v/>
      </c>
      <c r="G89" s="32" t="str">
        <f>IFERROR(IF(INDEX(Observaciones!I$3:I$147,MATCH(ROWS($A$3:A89),Observaciones!$N$3:$N$147,0))="","",INDEX(Observaciones!I$3:I$147,MATCH(ROWS($A$3:A89),Observaciones!$N$3:$N$147,0))),"")</f>
        <v/>
      </c>
      <c r="H89" s="33" t="str">
        <f>IFERROR(IF(INDEX(Observaciones!J$3:J$147,MATCH(ROWS($A$3:A89),Observaciones!$N$3:$N$147,0))="","",INDEX(Observaciones!J$3:J$147,MATCH(ROWS($A$3:A89),Observaciones!$N$3:$N$147,0))),"")</f>
        <v/>
      </c>
    </row>
    <row r="90" spans="1:8" s="10" customFormat="1" ht="28.95" customHeight="1" x14ac:dyDescent="0.3">
      <c r="A90" s="30" t="str">
        <f>IFERROR(IF(INDEX(Observaciones!A$3:A$147,MATCH(ROWS($A$3:A90),Observaciones!$N$3:$N$147,0))="","",INDEX(Observaciones!A$3:A$147,MATCH(ROWS($A$3:A90),Observaciones!$N$3:$N$147,0))),"")</f>
        <v/>
      </c>
      <c r="B90" s="31" t="str">
        <f>IFERROR(IF(INDEX(Observaciones!C$3:C$147,MATCH(ROWS($A$3:A90),Observaciones!$N$3:$N$147,0))="","",INDEX(Observaciones!C$3:C$147,MATCH(ROWS($A$3:A90),Observaciones!$N$3:$N$147,0))),"")</f>
        <v/>
      </c>
      <c r="C90" s="32" t="str">
        <f>IFERROR(IF(INDEX(Observaciones!B$3:B$147,MATCH(ROWS($A$3:A90),Observaciones!$N$3:$N$147,0))="","",INDEX(Observaciones!B$3:B$147,MATCH(ROWS($A$3:A90),Observaciones!$N$3:$N$147,0))),"")</f>
        <v/>
      </c>
      <c r="D90" s="30" t="str">
        <f>IFERROR(IF(INDEX(Observaciones!D$3:D$147,MATCH(ROWS($A$3:A90),Observaciones!$N$3:$N$147,0))="","",INDEX(Observaciones!D$3:D$147,MATCH(ROWS($A$3:A90),Observaciones!$N$3:$N$147,0))),"")</f>
        <v/>
      </c>
      <c r="E90" s="33" t="str">
        <f>IFERROR(IF(INDEX(Observaciones!E$3:E$147,MATCH(ROWS($A$3:A90),Observaciones!$N$3:$N$147,0))="","",INDEX(Observaciones!E$3:E$147,MATCH(ROWS($A$3:A90),Observaciones!$N$3:$N$147,0))),"")</f>
        <v/>
      </c>
      <c r="F90" s="30" t="str">
        <f>IFERROR(IF(INDEX(Observaciones!F$3:F$147,MATCH(ROWS($A$3:A90),Observaciones!$N$3:$N$147,0))="","",INDEX(Observaciones!F$3:F$147,MATCH(ROWS($A$3:A90),Observaciones!$N$3:$N$147,0))),"")</f>
        <v/>
      </c>
      <c r="G90" s="32" t="str">
        <f>IFERROR(IF(INDEX(Observaciones!I$3:I$147,MATCH(ROWS($A$3:A90),Observaciones!$N$3:$N$147,0))="","",INDEX(Observaciones!I$3:I$147,MATCH(ROWS($A$3:A90),Observaciones!$N$3:$N$147,0))),"")</f>
        <v/>
      </c>
      <c r="H90" s="33" t="str">
        <f>IFERROR(IF(INDEX(Observaciones!J$3:J$147,MATCH(ROWS($A$3:A90),Observaciones!$N$3:$N$147,0))="","",INDEX(Observaciones!J$3:J$147,MATCH(ROWS($A$3:A90),Observaciones!$N$3:$N$147,0))),"")</f>
        <v/>
      </c>
    </row>
    <row r="91" spans="1:8" s="10" customFormat="1" ht="28.95" customHeight="1" x14ac:dyDescent="0.3">
      <c r="A91" s="30" t="str">
        <f>IFERROR(IF(INDEX(Observaciones!A$3:A$147,MATCH(ROWS($A$3:A91),Observaciones!$N$3:$N$147,0))="","",INDEX(Observaciones!A$3:A$147,MATCH(ROWS($A$3:A91),Observaciones!$N$3:$N$147,0))),"")</f>
        <v/>
      </c>
      <c r="B91" s="31" t="str">
        <f>IFERROR(IF(INDEX(Observaciones!C$3:C$147,MATCH(ROWS($A$3:A91),Observaciones!$N$3:$N$147,0))="","",INDEX(Observaciones!C$3:C$147,MATCH(ROWS($A$3:A91),Observaciones!$N$3:$N$147,0))),"")</f>
        <v/>
      </c>
      <c r="C91" s="32" t="str">
        <f>IFERROR(IF(INDEX(Observaciones!B$3:B$147,MATCH(ROWS($A$3:A91),Observaciones!$N$3:$N$147,0))="","",INDEX(Observaciones!B$3:B$147,MATCH(ROWS($A$3:A91),Observaciones!$N$3:$N$147,0))),"")</f>
        <v/>
      </c>
      <c r="D91" s="30" t="str">
        <f>IFERROR(IF(INDEX(Observaciones!D$3:D$147,MATCH(ROWS($A$3:A91),Observaciones!$N$3:$N$147,0))="","",INDEX(Observaciones!D$3:D$147,MATCH(ROWS($A$3:A91),Observaciones!$N$3:$N$147,0))),"")</f>
        <v/>
      </c>
      <c r="E91" s="33" t="str">
        <f>IFERROR(IF(INDEX(Observaciones!E$3:E$147,MATCH(ROWS($A$3:A91),Observaciones!$N$3:$N$147,0))="","",INDEX(Observaciones!E$3:E$147,MATCH(ROWS($A$3:A91),Observaciones!$N$3:$N$147,0))),"")</f>
        <v/>
      </c>
      <c r="F91" s="30" t="str">
        <f>IFERROR(IF(INDEX(Observaciones!F$3:F$147,MATCH(ROWS($A$3:A91),Observaciones!$N$3:$N$147,0))="","",INDEX(Observaciones!F$3:F$147,MATCH(ROWS($A$3:A91),Observaciones!$N$3:$N$147,0))),"")</f>
        <v/>
      </c>
      <c r="G91" s="32" t="str">
        <f>IFERROR(IF(INDEX(Observaciones!I$3:I$147,MATCH(ROWS($A$3:A91),Observaciones!$N$3:$N$147,0))="","",INDEX(Observaciones!I$3:I$147,MATCH(ROWS($A$3:A91),Observaciones!$N$3:$N$147,0))),"")</f>
        <v/>
      </c>
      <c r="H91" s="33" t="str">
        <f>IFERROR(IF(INDEX(Observaciones!J$3:J$147,MATCH(ROWS($A$3:A91),Observaciones!$N$3:$N$147,0))="","",INDEX(Observaciones!J$3:J$147,MATCH(ROWS($A$3:A91),Observaciones!$N$3:$N$147,0))),"")</f>
        <v/>
      </c>
    </row>
    <row r="92" spans="1:8" s="10" customFormat="1" ht="28.95" customHeight="1" x14ac:dyDescent="0.3">
      <c r="A92" s="30" t="str">
        <f>IFERROR(IF(INDEX(Observaciones!A$3:A$147,MATCH(ROWS($A$3:A92),Observaciones!$N$3:$N$147,0))="","",INDEX(Observaciones!A$3:A$147,MATCH(ROWS($A$3:A92),Observaciones!$N$3:$N$147,0))),"")</f>
        <v/>
      </c>
      <c r="B92" s="31" t="str">
        <f>IFERROR(IF(INDEX(Observaciones!C$3:C$147,MATCH(ROWS($A$3:A92),Observaciones!$N$3:$N$147,0))="","",INDEX(Observaciones!C$3:C$147,MATCH(ROWS($A$3:A92),Observaciones!$N$3:$N$147,0))),"")</f>
        <v/>
      </c>
      <c r="C92" s="32" t="str">
        <f>IFERROR(IF(INDEX(Observaciones!B$3:B$147,MATCH(ROWS($A$3:A92),Observaciones!$N$3:$N$147,0))="","",INDEX(Observaciones!B$3:B$147,MATCH(ROWS($A$3:A92),Observaciones!$N$3:$N$147,0))),"")</f>
        <v/>
      </c>
      <c r="D92" s="30" t="str">
        <f>IFERROR(IF(INDEX(Observaciones!D$3:D$147,MATCH(ROWS($A$3:A92),Observaciones!$N$3:$N$147,0))="","",INDEX(Observaciones!D$3:D$147,MATCH(ROWS($A$3:A92),Observaciones!$N$3:$N$147,0))),"")</f>
        <v/>
      </c>
      <c r="E92" s="33" t="str">
        <f>IFERROR(IF(INDEX(Observaciones!E$3:E$147,MATCH(ROWS($A$3:A92),Observaciones!$N$3:$N$147,0))="","",INDEX(Observaciones!E$3:E$147,MATCH(ROWS($A$3:A92),Observaciones!$N$3:$N$147,0))),"")</f>
        <v/>
      </c>
      <c r="F92" s="30" t="str">
        <f>IFERROR(IF(INDEX(Observaciones!F$3:F$147,MATCH(ROWS($A$3:A92),Observaciones!$N$3:$N$147,0))="","",INDEX(Observaciones!F$3:F$147,MATCH(ROWS($A$3:A92),Observaciones!$N$3:$N$147,0))),"")</f>
        <v/>
      </c>
      <c r="G92" s="32" t="str">
        <f>IFERROR(IF(INDEX(Observaciones!I$3:I$147,MATCH(ROWS($A$3:A92),Observaciones!$N$3:$N$147,0))="","",INDEX(Observaciones!I$3:I$147,MATCH(ROWS($A$3:A92),Observaciones!$N$3:$N$147,0))),"")</f>
        <v/>
      </c>
      <c r="H92" s="33" t="str">
        <f>IFERROR(IF(INDEX(Observaciones!J$3:J$147,MATCH(ROWS($A$3:A92),Observaciones!$N$3:$N$147,0))="","",INDEX(Observaciones!J$3:J$147,MATCH(ROWS($A$3:A92),Observaciones!$N$3:$N$147,0))),"")</f>
        <v/>
      </c>
    </row>
    <row r="93" spans="1:8" s="10" customFormat="1" ht="28.95" customHeight="1" x14ac:dyDescent="0.3">
      <c r="A93" s="30" t="str">
        <f>IFERROR(IF(INDEX(Observaciones!A$3:A$147,MATCH(ROWS($A$3:A93),Observaciones!$N$3:$N$147,0))="","",INDEX(Observaciones!A$3:A$147,MATCH(ROWS($A$3:A93),Observaciones!$N$3:$N$147,0))),"")</f>
        <v/>
      </c>
      <c r="B93" s="31" t="str">
        <f>IFERROR(IF(INDEX(Observaciones!C$3:C$147,MATCH(ROWS($A$3:A93),Observaciones!$N$3:$N$147,0))="","",INDEX(Observaciones!C$3:C$147,MATCH(ROWS($A$3:A93),Observaciones!$N$3:$N$147,0))),"")</f>
        <v/>
      </c>
      <c r="C93" s="32" t="str">
        <f>IFERROR(IF(INDEX(Observaciones!B$3:B$147,MATCH(ROWS($A$3:A93),Observaciones!$N$3:$N$147,0))="","",INDEX(Observaciones!B$3:B$147,MATCH(ROWS($A$3:A93),Observaciones!$N$3:$N$147,0))),"")</f>
        <v/>
      </c>
      <c r="D93" s="30" t="str">
        <f>IFERROR(IF(INDEX(Observaciones!D$3:D$147,MATCH(ROWS($A$3:A93),Observaciones!$N$3:$N$147,0))="","",INDEX(Observaciones!D$3:D$147,MATCH(ROWS($A$3:A93),Observaciones!$N$3:$N$147,0))),"")</f>
        <v/>
      </c>
      <c r="E93" s="33" t="str">
        <f>IFERROR(IF(INDEX(Observaciones!E$3:E$147,MATCH(ROWS($A$3:A93),Observaciones!$N$3:$N$147,0))="","",INDEX(Observaciones!E$3:E$147,MATCH(ROWS($A$3:A93),Observaciones!$N$3:$N$147,0))),"")</f>
        <v/>
      </c>
      <c r="F93" s="30" t="str">
        <f>IFERROR(IF(INDEX(Observaciones!F$3:F$147,MATCH(ROWS($A$3:A93),Observaciones!$N$3:$N$147,0))="","",INDEX(Observaciones!F$3:F$147,MATCH(ROWS($A$3:A93),Observaciones!$N$3:$N$147,0))),"")</f>
        <v/>
      </c>
      <c r="G93" s="32" t="str">
        <f>IFERROR(IF(INDEX(Observaciones!I$3:I$147,MATCH(ROWS($A$3:A93),Observaciones!$N$3:$N$147,0))="","",INDEX(Observaciones!I$3:I$147,MATCH(ROWS($A$3:A93),Observaciones!$N$3:$N$147,0))),"")</f>
        <v/>
      </c>
      <c r="H93" s="33" t="str">
        <f>IFERROR(IF(INDEX(Observaciones!J$3:J$147,MATCH(ROWS($A$3:A93),Observaciones!$N$3:$N$147,0))="","",INDEX(Observaciones!J$3:J$147,MATCH(ROWS($A$3:A93),Observaciones!$N$3:$N$147,0))),"")</f>
        <v/>
      </c>
    </row>
    <row r="94" spans="1:8" s="10" customFormat="1" ht="28.95" customHeight="1" x14ac:dyDescent="0.3">
      <c r="A94" s="30" t="str">
        <f>IFERROR(IF(INDEX(Observaciones!A$3:A$147,MATCH(ROWS($A$3:A94),Observaciones!$N$3:$N$147,0))="","",INDEX(Observaciones!A$3:A$147,MATCH(ROWS($A$3:A94),Observaciones!$N$3:$N$147,0))),"")</f>
        <v/>
      </c>
      <c r="B94" s="31" t="str">
        <f>IFERROR(IF(INDEX(Observaciones!C$3:C$147,MATCH(ROWS($A$3:A94),Observaciones!$N$3:$N$147,0))="","",INDEX(Observaciones!C$3:C$147,MATCH(ROWS($A$3:A94),Observaciones!$N$3:$N$147,0))),"")</f>
        <v/>
      </c>
      <c r="C94" s="32" t="str">
        <f>IFERROR(IF(INDEX(Observaciones!B$3:B$147,MATCH(ROWS($A$3:A94),Observaciones!$N$3:$N$147,0))="","",INDEX(Observaciones!B$3:B$147,MATCH(ROWS($A$3:A94),Observaciones!$N$3:$N$147,0))),"")</f>
        <v/>
      </c>
      <c r="D94" s="30" t="str">
        <f>IFERROR(IF(INDEX(Observaciones!D$3:D$147,MATCH(ROWS($A$3:A94),Observaciones!$N$3:$N$147,0))="","",INDEX(Observaciones!D$3:D$147,MATCH(ROWS($A$3:A94),Observaciones!$N$3:$N$147,0))),"")</f>
        <v/>
      </c>
      <c r="E94" s="33" t="str">
        <f>IFERROR(IF(INDEX(Observaciones!E$3:E$147,MATCH(ROWS($A$3:A94),Observaciones!$N$3:$N$147,0))="","",INDEX(Observaciones!E$3:E$147,MATCH(ROWS($A$3:A94),Observaciones!$N$3:$N$147,0))),"")</f>
        <v/>
      </c>
      <c r="F94" s="30" t="str">
        <f>IFERROR(IF(INDEX(Observaciones!F$3:F$147,MATCH(ROWS($A$3:A94),Observaciones!$N$3:$N$147,0))="","",INDEX(Observaciones!F$3:F$147,MATCH(ROWS($A$3:A94),Observaciones!$N$3:$N$147,0))),"")</f>
        <v/>
      </c>
      <c r="G94" s="32" t="str">
        <f>IFERROR(IF(INDEX(Observaciones!I$3:I$147,MATCH(ROWS($A$3:A94),Observaciones!$N$3:$N$147,0))="","",INDEX(Observaciones!I$3:I$147,MATCH(ROWS($A$3:A94),Observaciones!$N$3:$N$147,0))),"")</f>
        <v/>
      </c>
      <c r="H94" s="33" t="str">
        <f>IFERROR(IF(INDEX(Observaciones!J$3:J$147,MATCH(ROWS($A$3:A94),Observaciones!$N$3:$N$147,0))="","",INDEX(Observaciones!J$3:J$147,MATCH(ROWS($A$3:A94),Observaciones!$N$3:$N$147,0))),"")</f>
        <v/>
      </c>
    </row>
    <row r="95" spans="1:8" s="10" customFormat="1" ht="28.95" customHeight="1" x14ac:dyDescent="0.3">
      <c r="A95" s="30" t="str">
        <f>IFERROR(IF(INDEX(Observaciones!A$3:A$147,MATCH(ROWS($A$3:A95),Observaciones!$N$3:$N$147,0))="","",INDEX(Observaciones!A$3:A$147,MATCH(ROWS($A$3:A95),Observaciones!$N$3:$N$147,0))),"")</f>
        <v/>
      </c>
      <c r="B95" s="31" t="str">
        <f>IFERROR(IF(INDEX(Observaciones!C$3:C$147,MATCH(ROWS($A$3:A95),Observaciones!$N$3:$N$147,0))="","",INDEX(Observaciones!C$3:C$147,MATCH(ROWS($A$3:A95),Observaciones!$N$3:$N$147,0))),"")</f>
        <v/>
      </c>
      <c r="C95" s="32" t="str">
        <f>IFERROR(IF(INDEX(Observaciones!B$3:B$147,MATCH(ROWS($A$3:A95),Observaciones!$N$3:$N$147,0))="","",INDEX(Observaciones!B$3:B$147,MATCH(ROWS($A$3:A95),Observaciones!$N$3:$N$147,0))),"")</f>
        <v/>
      </c>
      <c r="D95" s="30" t="str">
        <f>IFERROR(IF(INDEX(Observaciones!D$3:D$147,MATCH(ROWS($A$3:A95),Observaciones!$N$3:$N$147,0))="","",INDEX(Observaciones!D$3:D$147,MATCH(ROWS($A$3:A95),Observaciones!$N$3:$N$147,0))),"")</f>
        <v/>
      </c>
      <c r="E95" s="33" t="str">
        <f>IFERROR(IF(INDEX(Observaciones!E$3:E$147,MATCH(ROWS($A$3:A95),Observaciones!$N$3:$N$147,0))="","",INDEX(Observaciones!E$3:E$147,MATCH(ROWS($A$3:A95),Observaciones!$N$3:$N$147,0))),"")</f>
        <v/>
      </c>
      <c r="F95" s="30" t="str">
        <f>IFERROR(IF(INDEX(Observaciones!F$3:F$147,MATCH(ROWS($A$3:A95),Observaciones!$N$3:$N$147,0))="","",INDEX(Observaciones!F$3:F$147,MATCH(ROWS($A$3:A95),Observaciones!$N$3:$N$147,0))),"")</f>
        <v/>
      </c>
      <c r="G95" s="32" t="str">
        <f>IFERROR(IF(INDEX(Observaciones!I$3:I$147,MATCH(ROWS($A$3:A95),Observaciones!$N$3:$N$147,0))="","",INDEX(Observaciones!I$3:I$147,MATCH(ROWS($A$3:A95),Observaciones!$N$3:$N$147,0))),"")</f>
        <v/>
      </c>
      <c r="H95" s="33" t="str">
        <f>IFERROR(IF(INDEX(Observaciones!J$3:J$147,MATCH(ROWS($A$3:A95),Observaciones!$N$3:$N$147,0))="","",INDEX(Observaciones!J$3:J$147,MATCH(ROWS($A$3:A95),Observaciones!$N$3:$N$147,0))),"")</f>
        <v/>
      </c>
    </row>
    <row r="96" spans="1:8" s="10" customFormat="1" ht="28.95" customHeight="1" x14ac:dyDescent="0.3">
      <c r="A96" s="30" t="str">
        <f>IFERROR(IF(INDEX(Observaciones!A$3:A$147,MATCH(ROWS($A$3:A96),Observaciones!$N$3:$N$147,0))="","",INDEX(Observaciones!A$3:A$147,MATCH(ROWS($A$3:A96),Observaciones!$N$3:$N$147,0))),"")</f>
        <v/>
      </c>
      <c r="B96" s="31" t="str">
        <f>IFERROR(IF(INDEX(Observaciones!C$3:C$147,MATCH(ROWS($A$3:A96),Observaciones!$N$3:$N$147,0))="","",INDEX(Observaciones!C$3:C$147,MATCH(ROWS($A$3:A96),Observaciones!$N$3:$N$147,0))),"")</f>
        <v/>
      </c>
      <c r="C96" s="32" t="str">
        <f>IFERROR(IF(INDEX(Observaciones!B$3:B$147,MATCH(ROWS($A$3:A96),Observaciones!$N$3:$N$147,0))="","",INDEX(Observaciones!B$3:B$147,MATCH(ROWS($A$3:A96),Observaciones!$N$3:$N$147,0))),"")</f>
        <v/>
      </c>
      <c r="D96" s="30" t="str">
        <f>IFERROR(IF(INDEX(Observaciones!D$3:D$147,MATCH(ROWS($A$3:A96),Observaciones!$N$3:$N$147,0))="","",INDEX(Observaciones!D$3:D$147,MATCH(ROWS($A$3:A96),Observaciones!$N$3:$N$147,0))),"")</f>
        <v/>
      </c>
      <c r="E96" s="33" t="str">
        <f>IFERROR(IF(INDEX(Observaciones!E$3:E$147,MATCH(ROWS($A$3:A96),Observaciones!$N$3:$N$147,0))="","",INDEX(Observaciones!E$3:E$147,MATCH(ROWS($A$3:A96),Observaciones!$N$3:$N$147,0))),"")</f>
        <v/>
      </c>
      <c r="F96" s="30" t="str">
        <f>IFERROR(IF(INDEX(Observaciones!F$3:F$147,MATCH(ROWS($A$3:A96),Observaciones!$N$3:$N$147,0))="","",INDEX(Observaciones!F$3:F$147,MATCH(ROWS($A$3:A96),Observaciones!$N$3:$N$147,0))),"")</f>
        <v/>
      </c>
      <c r="G96" s="32" t="str">
        <f>IFERROR(IF(INDEX(Observaciones!I$3:I$147,MATCH(ROWS($A$3:A96),Observaciones!$N$3:$N$147,0))="","",INDEX(Observaciones!I$3:I$147,MATCH(ROWS($A$3:A96),Observaciones!$N$3:$N$147,0))),"")</f>
        <v/>
      </c>
      <c r="H96" s="33" t="str">
        <f>IFERROR(IF(INDEX(Observaciones!J$3:J$147,MATCH(ROWS($A$3:A96),Observaciones!$N$3:$N$147,0))="","",INDEX(Observaciones!J$3:J$147,MATCH(ROWS($A$3:A96),Observaciones!$N$3:$N$147,0))),"")</f>
        <v/>
      </c>
    </row>
    <row r="97" spans="1:8" s="10" customFormat="1" ht="28.95" customHeight="1" x14ac:dyDescent="0.3">
      <c r="A97" s="30" t="str">
        <f>IFERROR(IF(INDEX(Observaciones!A$3:A$147,MATCH(ROWS($A$3:A97),Observaciones!$N$3:$N$147,0))="","",INDEX(Observaciones!A$3:A$147,MATCH(ROWS($A$3:A97),Observaciones!$N$3:$N$147,0))),"")</f>
        <v/>
      </c>
      <c r="B97" s="31" t="str">
        <f>IFERROR(IF(INDEX(Observaciones!C$3:C$147,MATCH(ROWS($A$3:A97),Observaciones!$N$3:$N$147,0))="","",INDEX(Observaciones!C$3:C$147,MATCH(ROWS($A$3:A97),Observaciones!$N$3:$N$147,0))),"")</f>
        <v/>
      </c>
      <c r="C97" s="32" t="str">
        <f>IFERROR(IF(INDEX(Observaciones!B$3:B$147,MATCH(ROWS($A$3:A97),Observaciones!$N$3:$N$147,0))="","",INDEX(Observaciones!B$3:B$147,MATCH(ROWS($A$3:A97),Observaciones!$N$3:$N$147,0))),"")</f>
        <v/>
      </c>
      <c r="D97" s="30" t="str">
        <f>IFERROR(IF(INDEX(Observaciones!D$3:D$147,MATCH(ROWS($A$3:A97),Observaciones!$N$3:$N$147,0))="","",INDEX(Observaciones!D$3:D$147,MATCH(ROWS($A$3:A97),Observaciones!$N$3:$N$147,0))),"")</f>
        <v/>
      </c>
      <c r="E97" s="33" t="str">
        <f>IFERROR(IF(INDEX(Observaciones!E$3:E$147,MATCH(ROWS($A$3:A97),Observaciones!$N$3:$N$147,0))="","",INDEX(Observaciones!E$3:E$147,MATCH(ROWS($A$3:A97),Observaciones!$N$3:$N$147,0))),"")</f>
        <v/>
      </c>
      <c r="F97" s="30" t="str">
        <f>IFERROR(IF(INDEX(Observaciones!F$3:F$147,MATCH(ROWS($A$3:A97),Observaciones!$N$3:$N$147,0))="","",INDEX(Observaciones!F$3:F$147,MATCH(ROWS($A$3:A97),Observaciones!$N$3:$N$147,0))),"")</f>
        <v/>
      </c>
      <c r="G97" s="32" t="str">
        <f>IFERROR(IF(INDEX(Observaciones!I$3:I$147,MATCH(ROWS($A$3:A97),Observaciones!$N$3:$N$147,0))="","",INDEX(Observaciones!I$3:I$147,MATCH(ROWS($A$3:A97),Observaciones!$N$3:$N$147,0))),"")</f>
        <v/>
      </c>
      <c r="H97" s="33" t="str">
        <f>IFERROR(IF(INDEX(Observaciones!J$3:J$147,MATCH(ROWS($A$3:A97),Observaciones!$N$3:$N$147,0))="","",INDEX(Observaciones!J$3:J$147,MATCH(ROWS($A$3:A97),Observaciones!$N$3:$N$147,0))),"")</f>
        <v/>
      </c>
    </row>
    <row r="98" spans="1:8" s="10" customFormat="1" ht="28.95" customHeight="1" x14ac:dyDescent="0.3">
      <c r="A98" s="30" t="str">
        <f>IFERROR(IF(INDEX(Observaciones!A$3:A$147,MATCH(ROWS($A$3:A98),Observaciones!$N$3:$N$147,0))="","",INDEX(Observaciones!A$3:A$147,MATCH(ROWS($A$3:A98),Observaciones!$N$3:$N$147,0))),"")</f>
        <v/>
      </c>
      <c r="B98" s="31" t="str">
        <f>IFERROR(IF(INDEX(Observaciones!C$3:C$147,MATCH(ROWS($A$3:A98),Observaciones!$N$3:$N$147,0))="","",INDEX(Observaciones!C$3:C$147,MATCH(ROWS($A$3:A98),Observaciones!$N$3:$N$147,0))),"")</f>
        <v/>
      </c>
      <c r="C98" s="32" t="str">
        <f>IFERROR(IF(INDEX(Observaciones!B$3:B$147,MATCH(ROWS($A$3:A98),Observaciones!$N$3:$N$147,0))="","",INDEX(Observaciones!B$3:B$147,MATCH(ROWS($A$3:A98),Observaciones!$N$3:$N$147,0))),"")</f>
        <v/>
      </c>
      <c r="D98" s="30" t="str">
        <f>IFERROR(IF(INDEX(Observaciones!D$3:D$147,MATCH(ROWS($A$3:A98),Observaciones!$N$3:$N$147,0))="","",INDEX(Observaciones!D$3:D$147,MATCH(ROWS($A$3:A98),Observaciones!$N$3:$N$147,0))),"")</f>
        <v/>
      </c>
      <c r="E98" s="33" t="str">
        <f>IFERROR(IF(INDEX(Observaciones!E$3:E$147,MATCH(ROWS($A$3:A98),Observaciones!$N$3:$N$147,0))="","",INDEX(Observaciones!E$3:E$147,MATCH(ROWS($A$3:A98),Observaciones!$N$3:$N$147,0))),"")</f>
        <v/>
      </c>
      <c r="F98" s="30" t="str">
        <f>IFERROR(IF(INDEX(Observaciones!F$3:F$147,MATCH(ROWS($A$3:A98),Observaciones!$N$3:$N$147,0))="","",INDEX(Observaciones!F$3:F$147,MATCH(ROWS($A$3:A98),Observaciones!$N$3:$N$147,0))),"")</f>
        <v/>
      </c>
      <c r="G98" s="32" t="str">
        <f>IFERROR(IF(INDEX(Observaciones!I$3:I$147,MATCH(ROWS($A$3:A98),Observaciones!$N$3:$N$147,0))="","",INDEX(Observaciones!I$3:I$147,MATCH(ROWS($A$3:A98),Observaciones!$N$3:$N$147,0))),"")</f>
        <v/>
      </c>
      <c r="H98" s="33" t="str">
        <f>IFERROR(IF(INDEX(Observaciones!J$3:J$147,MATCH(ROWS($A$3:A98),Observaciones!$N$3:$N$147,0))="","",INDEX(Observaciones!J$3:J$147,MATCH(ROWS($A$3:A98),Observaciones!$N$3:$N$147,0))),"")</f>
        <v/>
      </c>
    </row>
    <row r="99" spans="1:8" s="10" customFormat="1" ht="28.95" customHeight="1" x14ac:dyDescent="0.3">
      <c r="A99" s="30" t="str">
        <f>IFERROR(IF(INDEX(Observaciones!A$3:A$147,MATCH(ROWS($A$3:A99),Observaciones!$N$3:$N$147,0))="","",INDEX(Observaciones!A$3:A$147,MATCH(ROWS($A$3:A99),Observaciones!$N$3:$N$147,0))),"")</f>
        <v/>
      </c>
      <c r="B99" s="31" t="str">
        <f>IFERROR(IF(INDEX(Observaciones!C$3:C$147,MATCH(ROWS($A$3:A99),Observaciones!$N$3:$N$147,0))="","",INDEX(Observaciones!C$3:C$147,MATCH(ROWS($A$3:A99),Observaciones!$N$3:$N$147,0))),"")</f>
        <v/>
      </c>
      <c r="C99" s="32" t="str">
        <f>IFERROR(IF(INDEX(Observaciones!B$3:B$147,MATCH(ROWS($A$3:A99),Observaciones!$N$3:$N$147,0))="","",INDEX(Observaciones!B$3:B$147,MATCH(ROWS($A$3:A99),Observaciones!$N$3:$N$147,0))),"")</f>
        <v/>
      </c>
      <c r="D99" s="30" t="str">
        <f>IFERROR(IF(INDEX(Observaciones!D$3:D$147,MATCH(ROWS($A$3:A99),Observaciones!$N$3:$N$147,0))="","",INDEX(Observaciones!D$3:D$147,MATCH(ROWS($A$3:A99),Observaciones!$N$3:$N$147,0))),"")</f>
        <v/>
      </c>
      <c r="E99" s="33" t="str">
        <f>IFERROR(IF(INDEX(Observaciones!E$3:E$147,MATCH(ROWS($A$3:A99),Observaciones!$N$3:$N$147,0))="","",INDEX(Observaciones!E$3:E$147,MATCH(ROWS($A$3:A99),Observaciones!$N$3:$N$147,0))),"")</f>
        <v/>
      </c>
      <c r="F99" s="30" t="str">
        <f>IFERROR(IF(INDEX(Observaciones!F$3:F$147,MATCH(ROWS($A$3:A99),Observaciones!$N$3:$N$147,0))="","",INDEX(Observaciones!F$3:F$147,MATCH(ROWS($A$3:A99),Observaciones!$N$3:$N$147,0))),"")</f>
        <v/>
      </c>
      <c r="G99" s="32" t="str">
        <f>IFERROR(IF(INDEX(Observaciones!I$3:I$147,MATCH(ROWS($A$3:A99),Observaciones!$N$3:$N$147,0))="","",INDEX(Observaciones!I$3:I$147,MATCH(ROWS($A$3:A99),Observaciones!$N$3:$N$147,0))),"")</f>
        <v/>
      </c>
      <c r="H99" s="33" t="str">
        <f>IFERROR(IF(INDEX(Observaciones!J$3:J$147,MATCH(ROWS($A$3:A99),Observaciones!$N$3:$N$147,0))="","",INDEX(Observaciones!J$3:J$147,MATCH(ROWS($A$3:A99),Observaciones!$N$3:$N$147,0))),"")</f>
        <v/>
      </c>
    </row>
    <row r="100" spans="1:8" s="10" customFormat="1" ht="28.95" customHeight="1" x14ac:dyDescent="0.3">
      <c r="A100" s="30" t="str">
        <f>IFERROR(IF(INDEX(Observaciones!A$3:A$147,MATCH(ROWS($A$3:A100),Observaciones!$N$3:$N$147,0))="","",INDEX(Observaciones!A$3:A$147,MATCH(ROWS($A$3:A100),Observaciones!$N$3:$N$147,0))),"")</f>
        <v/>
      </c>
      <c r="B100" s="31" t="str">
        <f>IFERROR(IF(INDEX(Observaciones!C$3:C$147,MATCH(ROWS($A$3:A100),Observaciones!$N$3:$N$147,0))="","",INDEX(Observaciones!C$3:C$147,MATCH(ROWS($A$3:A100),Observaciones!$N$3:$N$147,0))),"")</f>
        <v/>
      </c>
      <c r="C100" s="32" t="str">
        <f>IFERROR(IF(INDEX(Observaciones!B$3:B$147,MATCH(ROWS($A$3:A100),Observaciones!$N$3:$N$147,0))="","",INDEX(Observaciones!B$3:B$147,MATCH(ROWS($A$3:A100),Observaciones!$N$3:$N$147,0))),"")</f>
        <v/>
      </c>
      <c r="D100" s="30" t="str">
        <f>IFERROR(IF(INDEX(Observaciones!D$3:D$147,MATCH(ROWS($A$3:A100),Observaciones!$N$3:$N$147,0))="","",INDEX(Observaciones!D$3:D$147,MATCH(ROWS($A$3:A100),Observaciones!$N$3:$N$147,0))),"")</f>
        <v/>
      </c>
      <c r="E100" s="33" t="str">
        <f>IFERROR(IF(INDEX(Observaciones!E$3:E$147,MATCH(ROWS($A$3:A100),Observaciones!$N$3:$N$147,0))="","",INDEX(Observaciones!E$3:E$147,MATCH(ROWS($A$3:A100),Observaciones!$N$3:$N$147,0))),"")</f>
        <v/>
      </c>
      <c r="F100" s="30" t="str">
        <f>IFERROR(IF(INDEX(Observaciones!F$3:F$147,MATCH(ROWS($A$3:A100),Observaciones!$N$3:$N$147,0))="","",INDEX(Observaciones!F$3:F$147,MATCH(ROWS($A$3:A100),Observaciones!$N$3:$N$147,0))),"")</f>
        <v/>
      </c>
      <c r="G100" s="32" t="str">
        <f>IFERROR(IF(INDEX(Observaciones!I$3:I$147,MATCH(ROWS($A$3:A100),Observaciones!$N$3:$N$147,0))="","",INDEX(Observaciones!I$3:I$147,MATCH(ROWS($A$3:A100),Observaciones!$N$3:$N$147,0))),"")</f>
        <v/>
      </c>
      <c r="H100" s="33" t="str">
        <f>IFERROR(IF(INDEX(Observaciones!J$3:J$147,MATCH(ROWS($A$3:A100),Observaciones!$N$3:$N$147,0))="","",INDEX(Observaciones!J$3:J$147,MATCH(ROWS($A$3:A100),Observaciones!$N$3:$N$147,0))),"")</f>
        <v/>
      </c>
    </row>
    <row r="101" spans="1:8" s="10" customFormat="1" ht="28.95" customHeight="1" x14ac:dyDescent="0.3">
      <c r="A101" s="30" t="str">
        <f>IFERROR(IF(INDEX(Observaciones!A$3:A$147,MATCH(ROWS($A$3:A101),Observaciones!$N$3:$N$147,0))="","",INDEX(Observaciones!A$3:A$147,MATCH(ROWS($A$3:A101),Observaciones!$N$3:$N$147,0))),"")</f>
        <v/>
      </c>
      <c r="B101" s="31" t="str">
        <f>IFERROR(IF(INDEX(Observaciones!C$3:C$147,MATCH(ROWS($A$3:A101),Observaciones!$N$3:$N$147,0))="","",INDEX(Observaciones!C$3:C$147,MATCH(ROWS($A$3:A101),Observaciones!$N$3:$N$147,0))),"")</f>
        <v/>
      </c>
      <c r="C101" s="32" t="str">
        <f>IFERROR(IF(INDEX(Observaciones!B$3:B$147,MATCH(ROWS($A$3:A101),Observaciones!$N$3:$N$147,0))="","",INDEX(Observaciones!B$3:B$147,MATCH(ROWS($A$3:A101),Observaciones!$N$3:$N$147,0))),"")</f>
        <v/>
      </c>
      <c r="D101" s="30" t="str">
        <f>IFERROR(IF(INDEX(Observaciones!D$3:D$147,MATCH(ROWS($A$3:A101),Observaciones!$N$3:$N$147,0))="","",INDEX(Observaciones!D$3:D$147,MATCH(ROWS($A$3:A101),Observaciones!$N$3:$N$147,0))),"")</f>
        <v/>
      </c>
      <c r="E101" s="33" t="str">
        <f>IFERROR(IF(INDEX(Observaciones!E$3:E$147,MATCH(ROWS($A$3:A101),Observaciones!$N$3:$N$147,0))="","",INDEX(Observaciones!E$3:E$147,MATCH(ROWS($A$3:A101),Observaciones!$N$3:$N$147,0))),"")</f>
        <v/>
      </c>
      <c r="F101" s="30" t="str">
        <f>IFERROR(IF(INDEX(Observaciones!F$3:F$147,MATCH(ROWS($A$3:A101),Observaciones!$N$3:$N$147,0))="","",INDEX(Observaciones!F$3:F$147,MATCH(ROWS($A$3:A101),Observaciones!$N$3:$N$147,0))),"")</f>
        <v/>
      </c>
      <c r="G101" s="32" t="str">
        <f>IFERROR(IF(INDEX(Observaciones!I$3:I$147,MATCH(ROWS($A$3:A101),Observaciones!$N$3:$N$147,0))="","",INDEX(Observaciones!I$3:I$147,MATCH(ROWS($A$3:A101),Observaciones!$N$3:$N$147,0))),"")</f>
        <v/>
      </c>
      <c r="H101" s="33" t="str">
        <f>IFERROR(IF(INDEX(Observaciones!J$3:J$147,MATCH(ROWS($A$3:A101),Observaciones!$N$3:$N$147,0))="","",INDEX(Observaciones!J$3:J$147,MATCH(ROWS($A$3:A101),Observaciones!$N$3:$N$147,0))),"")</f>
        <v/>
      </c>
    </row>
    <row r="102" spans="1:8" s="10" customFormat="1" ht="28.95" customHeight="1" x14ac:dyDescent="0.3">
      <c r="A102" s="30" t="str">
        <f>IFERROR(IF(INDEX(Observaciones!A$3:A$147,MATCH(ROWS($A$3:A102),Observaciones!$N$3:$N$147,0))="","",INDEX(Observaciones!A$3:A$147,MATCH(ROWS($A$3:A102),Observaciones!$N$3:$N$147,0))),"")</f>
        <v/>
      </c>
      <c r="B102" s="31" t="str">
        <f>IFERROR(IF(INDEX(Observaciones!C$3:C$147,MATCH(ROWS($A$3:A102),Observaciones!$N$3:$N$147,0))="","",INDEX(Observaciones!C$3:C$147,MATCH(ROWS($A$3:A102),Observaciones!$N$3:$N$147,0))),"")</f>
        <v/>
      </c>
      <c r="C102" s="32" t="str">
        <f>IFERROR(IF(INDEX(Observaciones!B$3:B$147,MATCH(ROWS($A$3:A102),Observaciones!$N$3:$N$147,0))="","",INDEX(Observaciones!B$3:B$147,MATCH(ROWS($A$3:A102),Observaciones!$N$3:$N$147,0))),"")</f>
        <v/>
      </c>
      <c r="D102" s="30" t="str">
        <f>IFERROR(IF(INDEX(Observaciones!D$3:D$147,MATCH(ROWS($A$3:A102),Observaciones!$N$3:$N$147,0))="","",INDEX(Observaciones!D$3:D$147,MATCH(ROWS($A$3:A102),Observaciones!$N$3:$N$147,0))),"")</f>
        <v/>
      </c>
      <c r="E102" s="33" t="str">
        <f>IFERROR(IF(INDEX(Observaciones!E$3:E$147,MATCH(ROWS($A$3:A102),Observaciones!$N$3:$N$147,0))="","",INDEX(Observaciones!E$3:E$147,MATCH(ROWS($A$3:A102),Observaciones!$N$3:$N$147,0))),"")</f>
        <v/>
      </c>
      <c r="F102" s="30" t="str">
        <f>IFERROR(IF(INDEX(Observaciones!F$3:F$147,MATCH(ROWS($A$3:A102),Observaciones!$N$3:$N$147,0))="","",INDEX(Observaciones!F$3:F$147,MATCH(ROWS($A$3:A102),Observaciones!$N$3:$N$147,0))),"")</f>
        <v/>
      </c>
      <c r="G102" s="32" t="str">
        <f>IFERROR(IF(INDEX(Observaciones!I$3:I$147,MATCH(ROWS($A$3:A102),Observaciones!$N$3:$N$147,0))="","",INDEX(Observaciones!I$3:I$147,MATCH(ROWS($A$3:A102),Observaciones!$N$3:$N$147,0))),"")</f>
        <v/>
      </c>
      <c r="H102" s="33" t="str">
        <f>IFERROR(IF(INDEX(Observaciones!J$3:J$147,MATCH(ROWS($A$3:A102),Observaciones!$N$3:$N$147,0))="","",INDEX(Observaciones!J$3:J$147,MATCH(ROWS($A$3:A102),Observaciones!$N$3:$N$147,0))),"")</f>
        <v/>
      </c>
    </row>
    <row r="103" spans="1:8" s="10" customFormat="1" ht="28.95" customHeight="1" x14ac:dyDescent="0.3">
      <c r="A103" s="30" t="str">
        <f>IFERROR(IF(INDEX(Observaciones!A$3:A$147,MATCH(ROWS($A$3:A103),Observaciones!$N$3:$N$147,0))="","",INDEX(Observaciones!A$3:A$147,MATCH(ROWS($A$3:A103),Observaciones!$N$3:$N$147,0))),"")</f>
        <v/>
      </c>
      <c r="B103" s="31" t="str">
        <f>IFERROR(IF(INDEX(Observaciones!C$3:C$147,MATCH(ROWS($A$3:A103),Observaciones!$N$3:$N$147,0))="","",INDEX(Observaciones!C$3:C$147,MATCH(ROWS($A$3:A103),Observaciones!$N$3:$N$147,0))),"")</f>
        <v/>
      </c>
      <c r="C103" s="32" t="str">
        <f>IFERROR(IF(INDEX(Observaciones!B$3:B$147,MATCH(ROWS($A$3:A103),Observaciones!$N$3:$N$147,0))="","",INDEX(Observaciones!B$3:B$147,MATCH(ROWS($A$3:A103),Observaciones!$N$3:$N$147,0))),"")</f>
        <v/>
      </c>
      <c r="D103" s="30" t="str">
        <f>IFERROR(IF(INDEX(Observaciones!D$3:D$147,MATCH(ROWS($A$3:A103),Observaciones!$N$3:$N$147,0))="","",INDEX(Observaciones!D$3:D$147,MATCH(ROWS($A$3:A103),Observaciones!$N$3:$N$147,0))),"")</f>
        <v/>
      </c>
      <c r="E103" s="33" t="str">
        <f>IFERROR(IF(INDEX(Observaciones!E$3:E$147,MATCH(ROWS($A$3:A103),Observaciones!$N$3:$N$147,0))="","",INDEX(Observaciones!E$3:E$147,MATCH(ROWS($A$3:A103),Observaciones!$N$3:$N$147,0))),"")</f>
        <v/>
      </c>
      <c r="F103" s="30" t="str">
        <f>IFERROR(IF(INDEX(Observaciones!F$3:F$147,MATCH(ROWS($A$3:A103),Observaciones!$N$3:$N$147,0))="","",INDEX(Observaciones!F$3:F$147,MATCH(ROWS($A$3:A103),Observaciones!$N$3:$N$147,0))),"")</f>
        <v/>
      </c>
      <c r="G103" s="32" t="str">
        <f>IFERROR(IF(INDEX(Observaciones!I$3:I$147,MATCH(ROWS($A$3:A103),Observaciones!$N$3:$N$147,0))="","",INDEX(Observaciones!I$3:I$147,MATCH(ROWS($A$3:A103),Observaciones!$N$3:$N$147,0))),"")</f>
        <v/>
      </c>
      <c r="H103" s="33" t="str">
        <f>IFERROR(IF(INDEX(Observaciones!J$3:J$147,MATCH(ROWS($A$3:A103),Observaciones!$N$3:$N$147,0))="","",INDEX(Observaciones!J$3:J$147,MATCH(ROWS($A$3:A103),Observaciones!$N$3:$N$147,0))),"")</f>
        <v/>
      </c>
    </row>
    <row r="104" spans="1:8" s="10" customFormat="1" ht="28.95" customHeight="1" x14ac:dyDescent="0.3">
      <c r="A104" s="30" t="str">
        <f>IFERROR(IF(INDEX(Observaciones!A$3:A$147,MATCH(ROWS($A$3:A104),Observaciones!$N$3:$N$147,0))="","",INDEX(Observaciones!A$3:A$147,MATCH(ROWS($A$3:A104),Observaciones!$N$3:$N$147,0))),"")</f>
        <v/>
      </c>
      <c r="B104" s="31" t="str">
        <f>IFERROR(IF(INDEX(Observaciones!C$3:C$147,MATCH(ROWS($A$3:A104),Observaciones!$N$3:$N$147,0))="","",INDEX(Observaciones!C$3:C$147,MATCH(ROWS($A$3:A104),Observaciones!$N$3:$N$147,0))),"")</f>
        <v/>
      </c>
      <c r="C104" s="32" t="str">
        <f>IFERROR(IF(INDEX(Observaciones!B$3:B$147,MATCH(ROWS($A$3:A104),Observaciones!$N$3:$N$147,0))="","",INDEX(Observaciones!B$3:B$147,MATCH(ROWS($A$3:A104),Observaciones!$N$3:$N$147,0))),"")</f>
        <v/>
      </c>
      <c r="D104" s="30" t="str">
        <f>IFERROR(IF(INDEX(Observaciones!D$3:D$147,MATCH(ROWS($A$3:A104),Observaciones!$N$3:$N$147,0))="","",INDEX(Observaciones!D$3:D$147,MATCH(ROWS($A$3:A104),Observaciones!$N$3:$N$147,0))),"")</f>
        <v/>
      </c>
      <c r="E104" s="33" t="str">
        <f>IFERROR(IF(INDEX(Observaciones!E$3:E$147,MATCH(ROWS($A$3:A104),Observaciones!$N$3:$N$147,0))="","",INDEX(Observaciones!E$3:E$147,MATCH(ROWS($A$3:A104),Observaciones!$N$3:$N$147,0))),"")</f>
        <v/>
      </c>
      <c r="F104" s="30" t="str">
        <f>IFERROR(IF(INDEX(Observaciones!F$3:F$147,MATCH(ROWS($A$3:A104),Observaciones!$N$3:$N$147,0))="","",INDEX(Observaciones!F$3:F$147,MATCH(ROWS($A$3:A104),Observaciones!$N$3:$N$147,0))),"")</f>
        <v/>
      </c>
      <c r="G104" s="32" t="str">
        <f>IFERROR(IF(INDEX(Observaciones!I$3:I$147,MATCH(ROWS($A$3:A104),Observaciones!$N$3:$N$147,0))="","",INDEX(Observaciones!I$3:I$147,MATCH(ROWS($A$3:A104),Observaciones!$N$3:$N$147,0))),"")</f>
        <v/>
      </c>
      <c r="H104" s="33" t="str">
        <f>IFERROR(IF(INDEX(Observaciones!J$3:J$147,MATCH(ROWS($A$3:A104),Observaciones!$N$3:$N$147,0))="","",INDEX(Observaciones!J$3:J$147,MATCH(ROWS($A$3:A104),Observaciones!$N$3:$N$147,0))),"")</f>
        <v/>
      </c>
    </row>
    <row r="105" spans="1:8" s="10" customFormat="1" ht="28.95" customHeight="1" x14ac:dyDescent="0.3">
      <c r="A105" s="30" t="str">
        <f>IFERROR(IF(INDEX(Observaciones!A$3:A$147,MATCH(ROWS($A$3:A105),Observaciones!$N$3:$N$147,0))="","",INDEX(Observaciones!A$3:A$147,MATCH(ROWS($A$3:A105),Observaciones!$N$3:$N$147,0))),"")</f>
        <v/>
      </c>
      <c r="B105" s="31" t="str">
        <f>IFERROR(IF(INDEX(Observaciones!C$3:C$147,MATCH(ROWS($A$3:A105),Observaciones!$N$3:$N$147,0))="","",INDEX(Observaciones!C$3:C$147,MATCH(ROWS($A$3:A105),Observaciones!$N$3:$N$147,0))),"")</f>
        <v/>
      </c>
      <c r="C105" s="32" t="str">
        <f>IFERROR(IF(INDEX(Observaciones!B$3:B$147,MATCH(ROWS($A$3:A105),Observaciones!$N$3:$N$147,0))="","",INDEX(Observaciones!B$3:B$147,MATCH(ROWS($A$3:A105),Observaciones!$N$3:$N$147,0))),"")</f>
        <v/>
      </c>
      <c r="D105" s="30" t="str">
        <f>IFERROR(IF(INDEX(Observaciones!D$3:D$147,MATCH(ROWS($A$3:A105),Observaciones!$N$3:$N$147,0))="","",INDEX(Observaciones!D$3:D$147,MATCH(ROWS($A$3:A105),Observaciones!$N$3:$N$147,0))),"")</f>
        <v/>
      </c>
      <c r="E105" s="33" t="str">
        <f>IFERROR(IF(INDEX(Observaciones!E$3:E$147,MATCH(ROWS($A$3:A105),Observaciones!$N$3:$N$147,0))="","",INDEX(Observaciones!E$3:E$147,MATCH(ROWS($A$3:A105),Observaciones!$N$3:$N$147,0))),"")</f>
        <v/>
      </c>
      <c r="F105" s="30" t="str">
        <f>IFERROR(IF(INDEX(Observaciones!F$3:F$147,MATCH(ROWS($A$3:A105),Observaciones!$N$3:$N$147,0))="","",INDEX(Observaciones!F$3:F$147,MATCH(ROWS($A$3:A105),Observaciones!$N$3:$N$147,0))),"")</f>
        <v/>
      </c>
      <c r="G105" s="32" t="str">
        <f>IFERROR(IF(INDEX(Observaciones!I$3:I$147,MATCH(ROWS($A$3:A105),Observaciones!$N$3:$N$147,0))="","",INDEX(Observaciones!I$3:I$147,MATCH(ROWS($A$3:A105),Observaciones!$N$3:$N$147,0))),"")</f>
        <v/>
      </c>
      <c r="H105" s="33" t="str">
        <f>IFERROR(IF(INDEX(Observaciones!J$3:J$147,MATCH(ROWS($A$3:A105),Observaciones!$N$3:$N$147,0))="","",INDEX(Observaciones!J$3:J$147,MATCH(ROWS($A$3:A105),Observaciones!$N$3:$N$147,0))),"")</f>
        <v/>
      </c>
    </row>
    <row r="106" spans="1:8" s="10" customFormat="1" ht="28.95" customHeight="1" x14ac:dyDescent="0.3">
      <c r="A106" s="30" t="str">
        <f>IFERROR(IF(INDEX(Observaciones!A$3:A$147,MATCH(ROWS($A$3:A106),Observaciones!$N$3:$N$147,0))="","",INDEX(Observaciones!A$3:A$147,MATCH(ROWS($A$3:A106),Observaciones!$N$3:$N$147,0))),"")</f>
        <v/>
      </c>
      <c r="B106" s="31" t="str">
        <f>IFERROR(IF(INDEX(Observaciones!C$3:C$147,MATCH(ROWS($A$3:A106),Observaciones!$N$3:$N$147,0))="","",INDEX(Observaciones!C$3:C$147,MATCH(ROWS($A$3:A106),Observaciones!$N$3:$N$147,0))),"")</f>
        <v/>
      </c>
      <c r="C106" s="32" t="str">
        <f>IFERROR(IF(INDEX(Observaciones!B$3:B$147,MATCH(ROWS($A$3:A106),Observaciones!$N$3:$N$147,0))="","",INDEX(Observaciones!B$3:B$147,MATCH(ROWS($A$3:A106),Observaciones!$N$3:$N$147,0))),"")</f>
        <v/>
      </c>
      <c r="D106" s="30" t="str">
        <f>IFERROR(IF(INDEX(Observaciones!D$3:D$147,MATCH(ROWS($A$3:A106),Observaciones!$N$3:$N$147,0))="","",INDEX(Observaciones!D$3:D$147,MATCH(ROWS($A$3:A106),Observaciones!$N$3:$N$147,0))),"")</f>
        <v/>
      </c>
      <c r="E106" s="33" t="str">
        <f>IFERROR(IF(INDEX(Observaciones!E$3:E$147,MATCH(ROWS($A$3:A106),Observaciones!$N$3:$N$147,0))="","",INDEX(Observaciones!E$3:E$147,MATCH(ROWS($A$3:A106),Observaciones!$N$3:$N$147,0))),"")</f>
        <v/>
      </c>
      <c r="F106" s="30" t="str">
        <f>IFERROR(IF(INDEX(Observaciones!F$3:F$147,MATCH(ROWS($A$3:A106),Observaciones!$N$3:$N$147,0))="","",INDEX(Observaciones!F$3:F$147,MATCH(ROWS($A$3:A106),Observaciones!$N$3:$N$147,0))),"")</f>
        <v/>
      </c>
      <c r="G106" s="32" t="str">
        <f>IFERROR(IF(INDEX(Observaciones!I$3:I$147,MATCH(ROWS($A$3:A106),Observaciones!$N$3:$N$147,0))="","",INDEX(Observaciones!I$3:I$147,MATCH(ROWS($A$3:A106),Observaciones!$N$3:$N$147,0))),"")</f>
        <v/>
      </c>
      <c r="H106" s="33" t="str">
        <f>IFERROR(IF(INDEX(Observaciones!J$3:J$147,MATCH(ROWS($A$3:A106),Observaciones!$N$3:$N$147,0))="","",INDEX(Observaciones!J$3:J$147,MATCH(ROWS($A$3:A106),Observaciones!$N$3:$N$147,0))),"")</f>
        <v/>
      </c>
    </row>
    <row r="107" spans="1:8" s="10" customFormat="1" ht="28.95" customHeight="1" x14ac:dyDescent="0.3">
      <c r="A107" s="30" t="str">
        <f>IFERROR(IF(INDEX(Observaciones!A$3:A$147,MATCH(ROWS($A$3:A107),Observaciones!$N$3:$N$147,0))="","",INDEX(Observaciones!A$3:A$147,MATCH(ROWS($A$3:A107),Observaciones!$N$3:$N$147,0))),"")</f>
        <v/>
      </c>
      <c r="B107" s="31" t="str">
        <f>IFERROR(IF(INDEX(Observaciones!C$3:C$147,MATCH(ROWS($A$3:A107),Observaciones!$N$3:$N$147,0))="","",INDEX(Observaciones!C$3:C$147,MATCH(ROWS($A$3:A107),Observaciones!$N$3:$N$147,0))),"")</f>
        <v/>
      </c>
      <c r="C107" s="32" t="str">
        <f>IFERROR(IF(INDEX(Observaciones!B$3:B$147,MATCH(ROWS($A$3:A107),Observaciones!$N$3:$N$147,0))="","",INDEX(Observaciones!B$3:B$147,MATCH(ROWS($A$3:A107),Observaciones!$N$3:$N$147,0))),"")</f>
        <v/>
      </c>
      <c r="D107" s="30" t="str">
        <f>IFERROR(IF(INDEX(Observaciones!D$3:D$147,MATCH(ROWS($A$3:A107),Observaciones!$N$3:$N$147,0))="","",INDEX(Observaciones!D$3:D$147,MATCH(ROWS($A$3:A107),Observaciones!$N$3:$N$147,0))),"")</f>
        <v/>
      </c>
      <c r="E107" s="33" t="str">
        <f>IFERROR(IF(INDEX(Observaciones!E$3:E$147,MATCH(ROWS($A$3:A107),Observaciones!$N$3:$N$147,0))="","",INDEX(Observaciones!E$3:E$147,MATCH(ROWS($A$3:A107),Observaciones!$N$3:$N$147,0))),"")</f>
        <v/>
      </c>
      <c r="F107" s="30" t="str">
        <f>IFERROR(IF(INDEX(Observaciones!F$3:F$147,MATCH(ROWS($A$3:A107),Observaciones!$N$3:$N$147,0))="","",INDEX(Observaciones!F$3:F$147,MATCH(ROWS($A$3:A107),Observaciones!$N$3:$N$147,0))),"")</f>
        <v/>
      </c>
      <c r="G107" s="32" t="str">
        <f>IFERROR(IF(INDEX(Observaciones!I$3:I$147,MATCH(ROWS($A$3:A107),Observaciones!$N$3:$N$147,0))="","",INDEX(Observaciones!I$3:I$147,MATCH(ROWS($A$3:A107),Observaciones!$N$3:$N$147,0))),"")</f>
        <v/>
      </c>
      <c r="H107" s="33" t="str">
        <f>IFERROR(IF(INDEX(Observaciones!J$3:J$147,MATCH(ROWS($A$3:A107),Observaciones!$N$3:$N$147,0))="","",INDEX(Observaciones!J$3:J$147,MATCH(ROWS($A$3:A107),Observaciones!$N$3:$N$147,0))),"")</f>
        <v/>
      </c>
    </row>
    <row r="108" spans="1:8" s="10" customFormat="1" ht="28.95" customHeight="1" x14ac:dyDescent="0.3">
      <c r="A108" s="30" t="str">
        <f>IFERROR(IF(INDEX(Observaciones!A$3:A$147,MATCH(ROWS($A$3:A108),Observaciones!$N$3:$N$147,0))="","",INDEX(Observaciones!A$3:A$147,MATCH(ROWS($A$3:A108),Observaciones!$N$3:$N$147,0))),"")</f>
        <v/>
      </c>
      <c r="B108" s="31" t="str">
        <f>IFERROR(IF(INDEX(Observaciones!C$3:C$147,MATCH(ROWS($A$3:A108),Observaciones!$N$3:$N$147,0))="","",INDEX(Observaciones!C$3:C$147,MATCH(ROWS($A$3:A108),Observaciones!$N$3:$N$147,0))),"")</f>
        <v/>
      </c>
      <c r="C108" s="32" t="str">
        <f>IFERROR(IF(INDEX(Observaciones!B$3:B$147,MATCH(ROWS($A$3:A108),Observaciones!$N$3:$N$147,0))="","",INDEX(Observaciones!B$3:B$147,MATCH(ROWS($A$3:A108),Observaciones!$N$3:$N$147,0))),"")</f>
        <v/>
      </c>
      <c r="D108" s="30" t="str">
        <f>IFERROR(IF(INDEX(Observaciones!D$3:D$147,MATCH(ROWS($A$3:A108),Observaciones!$N$3:$N$147,0))="","",INDEX(Observaciones!D$3:D$147,MATCH(ROWS($A$3:A108),Observaciones!$N$3:$N$147,0))),"")</f>
        <v/>
      </c>
      <c r="E108" s="33" t="str">
        <f>IFERROR(IF(INDEX(Observaciones!E$3:E$147,MATCH(ROWS($A$3:A108),Observaciones!$N$3:$N$147,0))="","",INDEX(Observaciones!E$3:E$147,MATCH(ROWS($A$3:A108),Observaciones!$N$3:$N$147,0))),"")</f>
        <v/>
      </c>
      <c r="F108" s="30" t="str">
        <f>IFERROR(IF(INDEX(Observaciones!F$3:F$147,MATCH(ROWS($A$3:A108),Observaciones!$N$3:$N$147,0))="","",INDEX(Observaciones!F$3:F$147,MATCH(ROWS($A$3:A108),Observaciones!$N$3:$N$147,0))),"")</f>
        <v/>
      </c>
      <c r="G108" s="32" t="str">
        <f>IFERROR(IF(INDEX(Observaciones!I$3:I$147,MATCH(ROWS($A$3:A108),Observaciones!$N$3:$N$147,0))="","",INDEX(Observaciones!I$3:I$147,MATCH(ROWS($A$3:A108),Observaciones!$N$3:$N$147,0))),"")</f>
        <v/>
      </c>
      <c r="H108" s="33" t="str">
        <f>IFERROR(IF(INDEX(Observaciones!J$3:J$147,MATCH(ROWS($A$3:A108),Observaciones!$N$3:$N$147,0))="","",INDEX(Observaciones!J$3:J$147,MATCH(ROWS($A$3:A108),Observaciones!$N$3:$N$147,0))),"")</f>
        <v/>
      </c>
    </row>
    <row r="109" spans="1:8" s="10" customFormat="1" ht="28.95" customHeight="1" x14ac:dyDescent="0.3">
      <c r="A109" s="30" t="str">
        <f>IFERROR(IF(INDEX(Observaciones!A$3:A$147,MATCH(ROWS($A$3:A109),Observaciones!$N$3:$N$147,0))="","",INDEX(Observaciones!A$3:A$147,MATCH(ROWS($A$3:A109),Observaciones!$N$3:$N$147,0))),"")</f>
        <v/>
      </c>
      <c r="B109" s="31" t="str">
        <f>IFERROR(IF(INDEX(Observaciones!C$3:C$147,MATCH(ROWS($A$3:A109),Observaciones!$N$3:$N$147,0))="","",INDEX(Observaciones!C$3:C$147,MATCH(ROWS($A$3:A109),Observaciones!$N$3:$N$147,0))),"")</f>
        <v/>
      </c>
      <c r="C109" s="32" t="str">
        <f>IFERROR(IF(INDEX(Observaciones!B$3:B$147,MATCH(ROWS($A$3:A109),Observaciones!$N$3:$N$147,0))="","",INDEX(Observaciones!B$3:B$147,MATCH(ROWS($A$3:A109),Observaciones!$N$3:$N$147,0))),"")</f>
        <v/>
      </c>
      <c r="D109" s="30" t="str">
        <f>IFERROR(IF(INDEX(Observaciones!D$3:D$147,MATCH(ROWS($A$3:A109),Observaciones!$N$3:$N$147,0))="","",INDEX(Observaciones!D$3:D$147,MATCH(ROWS($A$3:A109),Observaciones!$N$3:$N$147,0))),"")</f>
        <v/>
      </c>
      <c r="E109" s="33" t="str">
        <f>IFERROR(IF(INDEX(Observaciones!E$3:E$147,MATCH(ROWS($A$3:A109),Observaciones!$N$3:$N$147,0))="","",INDEX(Observaciones!E$3:E$147,MATCH(ROWS($A$3:A109),Observaciones!$N$3:$N$147,0))),"")</f>
        <v/>
      </c>
      <c r="F109" s="30" t="str">
        <f>IFERROR(IF(INDEX(Observaciones!F$3:F$147,MATCH(ROWS($A$3:A109),Observaciones!$N$3:$N$147,0))="","",INDEX(Observaciones!F$3:F$147,MATCH(ROWS($A$3:A109),Observaciones!$N$3:$N$147,0))),"")</f>
        <v/>
      </c>
      <c r="G109" s="32" t="str">
        <f>IFERROR(IF(INDEX(Observaciones!I$3:I$147,MATCH(ROWS($A$3:A109),Observaciones!$N$3:$N$147,0))="","",INDEX(Observaciones!I$3:I$147,MATCH(ROWS($A$3:A109),Observaciones!$N$3:$N$147,0))),"")</f>
        <v/>
      </c>
      <c r="H109" s="33" t="str">
        <f>IFERROR(IF(INDEX(Observaciones!J$3:J$147,MATCH(ROWS($A$3:A109),Observaciones!$N$3:$N$147,0))="","",INDEX(Observaciones!J$3:J$147,MATCH(ROWS($A$3:A109),Observaciones!$N$3:$N$147,0))),"")</f>
        <v/>
      </c>
    </row>
    <row r="110" spans="1:8" s="10" customFormat="1" ht="28.95" customHeight="1" x14ac:dyDescent="0.3">
      <c r="A110" s="30" t="str">
        <f>IFERROR(IF(INDEX(Observaciones!A$3:A$147,MATCH(ROWS($A$3:A110),Observaciones!$N$3:$N$147,0))="","",INDEX(Observaciones!A$3:A$147,MATCH(ROWS($A$3:A110),Observaciones!$N$3:$N$147,0))),"")</f>
        <v/>
      </c>
      <c r="B110" s="31" t="str">
        <f>IFERROR(IF(INDEX(Observaciones!C$3:C$147,MATCH(ROWS($A$3:A110),Observaciones!$N$3:$N$147,0))="","",INDEX(Observaciones!C$3:C$147,MATCH(ROWS($A$3:A110),Observaciones!$N$3:$N$147,0))),"")</f>
        <v/>
      </c>
      <c r="C110" s="32" t="str">
        <f>IFERROR(IF(INDEX(Observaciones!B$3:B$147,MATCH(ROWS($A$3:A110),Observaciones!$N$3:$N$147,0))="","",INDEX(Observaciones!B$3:B$147,MATCH(ROWS($A$3:A110),Observaciones!$N$3:$N$147,0))),"")</f>
        <v/>
      </c>
      <c r="D110" s="30" t="str">
        <f>IFERROR(IF(INDEX(Observaciones!D$3:D$147,MATCH(ROWS($A$3:A110),Observaciones!$N$3:$N$147,0))="","",INDEX(Observaciones!D$3:D$147,MATCH(ROWS($A$3:A110),Observaciones!$N$3:$N$147,0))),"")</f>
        <v/>
      </c>
      <c r="E110" s="33" t="str">
        <f>IFERROR(IF(INDEX(Observaciones!E$3:E$147,MATCH(ROWS($A$3:A110),Observaciones!$N$3:$N$147,0))="","",INDEX(Observaciones!E$3:E$147,MATCH(ROWS($A$3:A110),Observaciones!$N$3:$N$147,0))),"")</f>
        <v/>
      </c>
      <c r="F110" s="30" t="str">
        <f>IFERROR(IF(INDEX(Observaciones!F$3:F$147,MATCH(ROWS($A$3:A110),Observaciones!$N$3:$N$147,0))="","",INDEX(Observaciones!F$3:F$147,MATCH(ROWS($A$3:A110),Observaciones!$N$3:$N$147,0))),"")</f>
        <v/>
      </c>
      <c r="G110" s="32" t="str">
        <f>IFERROR(IF(INDEX(Observaciones!I$3:I$147,MATCH(ROWS($A$3:A110),Observaciones!$N$3:$N$147,0))="","",INDEX(Observaciones!I$3:I$147,MATCH(ROWS($A$3:A110),Observaciones!$N$3:$N$147,0))),"")</f>
        <v/>
      </c>
      <c r="H110" s="33" t="str">
        <f>IFERROR(IF(INDEX(Observaciones!J$3:J$147,MATCH(ROWS($A$3:A110),Observaciones!$N$3:$N$147,0))="","",INDEX(Observaciones!J$3:J$147,MATCH(ROWS($A$3:A110),Observaciones!$N$3:$N$147,0))),"")</f>
        <v/>
      </c>
    </row>
    <row r="111" spans="1:8" s="10" customFormat="1" ht="28.95" customHeight="1" x14ac:dyDescent="0.3">
      <c r="A111" s="30" t="str">
        <f>IFERROR(IF(INDEX(Observaciones!A$3:A$147,MATCH(ROWS($A$3:A111),Observaciones!$N$3:$N$147,0))="","",INDEX(Observaciones!A$3:A$147,MATCH(ROWS($A$3:A111),Observaciones!$N$3:$N$147,0))),"")</f>
        <v/>
      </c>
      <c r="B111" s="31" t="str">
        <f>IFERROR(IF(INDEX(Observaciones!C$3:C$147,MATCH(ROWS($A$3:A111),Observaciones!$N$3:$N$147,0))="","",INDEX(Observaciones!C$3:C$147,MATCH(ROWS($A$3:A111),Observaciones!$N$3:$N$147,0))),"")</f>
        <v/>
      </c>
      <c r="C111" s="32" t="str">
        <f>IFERROR(IF(INDEX(Observaciones!B$3:B$147,MATCH(ROWS($A$3:A111),Observaciones!$N$3:$N$147,0))="","",INDEX(Observaciones!B$3:B$147,MATCH(ROWS($A$3:A111),Observaciones!$N$3:$N$147,0))),"")</f>
        <v/>
      </c>
      <c r="D111" s="30" t="str">
        <f>IFERROR(IF(INDEX(Observaciones!D$3:D$147,MATCH(ROWS($A$3:A111),Observaciones!$N$3:$N$147,0))="","",INDEX(Observaciones!D$3:D$147,MATCH(ROWS($A$3:A111),Observaciones!$N$3:$N$147,0))),"")</f>
        <v/>
      </c>
      <c r="E111" s="33" t="str">
        <f>IFERROR(IF(INDEX(Observaciones!E$3:E$147,MATCH(ROWS($A$3:A111),Observaciones!$N$3:$N$147,0))="","",INDEX(Observaciones!E$3:E$147,MATCH(ROWS($A$3:A111),Observaciones!$N$3:$N$147,0))),"")</f>
        <v/>
      </c>
      <c r="F111" s="30" t="str">
        <f>IFERROR(IF(INDEX(Observaciones!F$3:F$147,MATCH(ROWS($A$3:A111),Observaciones!$N$3:$N$147,0))="","",INDEX(Observaciones!F$3:F$147,MATCH(ROWS($A$3:A111),Observaciones!$N$3:$N$147,0))),"")</f>
        <v/>
      </c>
      <c r="G111" s="32" t="str">
        <f>IFERROR(IF(INDEX(Observaciones!I$3:I$147,MATCH(ROWS($A$3:A111),Observaciones!$N$3:$N$147,0))="","",INDEX(Observaciones!I$3:I$147,MATCH(ROWS($A$3:A111),Observaciones!$N$3:$N$147,0))),"")</f>
        <v/>
      </c>
      <c r="H111" s="33" t="str">
        <f>IFERROR(IF(INDEX(Observaciones!J$3:J$147,MATCH(ROWS($A$3:A111),Observaciones!$N$3:$N$147,0))="","",INDEX(Observaciones!J$3:J$147,MATCH(ROWS($A$3:A111),Observaciones!$N$3:$N$147,0))),"")</f>
        <v/>
      </c>
    </row>
    <row r="112" spans="1:8" s="10" customFormat="1" ht="28.95" customHeight="1" x14ac:dyDescent="0.3">
      <c r="A112" s="30" t="str">
        <f>IFERROR(IF(INDEX(Observaciones!A$3:A$147,MATCH(ROWS($A$3:A112),Observaciones!$N$3:$N$147,0))="","",INDEX(Observaciones!A$3:A$147,MATCH(ROWS($A$3:A112),Observaciones!$N$3:$N$147,0))),"")</f>
        <v/>
      </c>
      <c r="B112" s="31" t="str">
        <f>IFERROR(IF(INDEX(Observaciones!C$3:C$147,MATCH(ROWS($A$3:A112),Observaciones!$N$3:$N$147,0))="","",INDEX(Observaciones!C$3:C$147,MATCH(ROWS($A$3:A112),Observaciones!$N$3:$N$147,0))),"")</f>
        <v/>
      </c>
      <c r="C112" s="32" t="str">
        <f>IFERROR(IF(INDEX(Observaciones!B$3:B$147,MATCH(ROWS($A$3:A112),Observaciones!$N$3:$N$147,0))="","",INDEX(Observaciones!B$3:B$147,MATCH(ROWS($A$3:A112),Observaciones!$N$3:$N$147,0))),"")</f>
        <v/>
      </c>
      <c r="D112" s="30" t="str">
        <f>IFERROR(IF(INDEX(Observaciones!D$3:D$147,MATCH(ROWS($A$3:A112),Observaciones!$N$3:$N$147,0))="","",INDEX(Observaciones!D$3:D$147,MATCH(ROWS($A$3:A112),Observaciones!$N$3:$N$147,0))),"")</f>
        <v/>
      </c>
      <c r="E112" s="33" t="str">
        <f>IFERROR(IF(INDEX(Observaciones!E$3:E$147,MATCH(ROWS($A$3:A112),Observaciones!$N$3:$N$147,0))="","",INDEX(Observaciones!E$3:E$147,MATCH(ROWS($A$3:A112),Observaciones!$N$3:$N$147,0))),"")</f>
        <v/>
      </c>
      <c r="F112" s="30" t="str">
        <f>IFERROR(IF(INDEX(Observaciones!F$3:F$147,MATCH(ROWS($A$3:A112),Observaciones!$N$3:$N$147,0))="","",INDEX(Observaciones!F$3:F$147,MATCH(ROWS($A$3:A112),Observaciones!$N$3:$N$147,0))),"")</f>
        <v/>
      </c>
      <c r="G112" s="32" t="str">
        <f>IFERROR(IF(INDEX(Observaciones!I$3:I$147,MATCH(ROWS($A$3:A112),Observaciones!$N$3:$N$147,0))="","",INDEX(Observaciones!I$3:I$147,MATCH(ROWS($A$3:A112),Observaciones!$N$3:$N$147,0))),"")</f>
        <v/>
      </c>
      <c r="H112" s="33" t="str">
        <f>IFERROR(IF(INDEX(Observaciones!J$3:J$147,MATCH(ROWS($A$3:A112),Observaciones!$N$3:$N$147,0))="","",INDEX(Observaciones!J$3:J$147,MATCH(ROWS($A$3:A112),Observaciones!$N$3:$N$147,0))),"")</f>
        <v/>
      </c>
    </row>
    <row r="113" spans="1:8" s="10" customFormat="1" ht="28.95" customHeight="1" x14ac:dyDescent="0.3">
      <c r="A113" s="30" t="str">
        <f>IFERROR(IF(INDEX(Observaciones!A$3:A$147,MATCH(ROWS($A$3:A113),Observaciones!$N$3:$N$147,0))="","",INDEX(Observaciones!A$3:A$147,MATCH(ROWS($A$3:A113),Observaciones!$N$3:$N$147,0))),"")</f>
        <v/>
      </c>
      <c r="B113" s="31" t="str">
        <f>IFERROR(IF(INDEX(Observaciones!C$3:C$147,MATCH(ROWS($A$3:A113),Observaciones!$N$3:$N$147,0))="","",INDEX(Observaciones!C$3:C$147,MATCH(ROWS($A$3:A113),Observaciones!$N$3:$N$147,0))),"")</f>
        <v/>
      </c>
      <c r="C113" s="32" t="str">
        <f>IFERROR(IF(INDEX(Observaciones!B$3:B$147,MATCH(ROWS($A$3:A113),Observaciones!$N$3:$N$147,0))="","",INDEX(Observaciones!B$3:B$147,MATCH(ROWS($A$3:A113),Observaciones!$N$3:$N$147,0))),"")</f>
        <v/>
      </c>
      <c r="D113" s="30" t="str">
        <f>IFERROR(IF(INDEX(Observaciones!D$3:D$147,MATCH(ROWS($A$3:A113),Observaciones!$N$3:$N$147,0))="","",INDEX(Observaciones!D$3:D$147,MATCH(ROWS($A$3:A113),Observaciones!$N$3:$N$147,0))),"")</f>
        <v/>
      </c>
      <c r="E113" s="33" t="str">
        <f>IFERROR(IF(INDEX(Observaciones!E$3:E$147,MATCH(ROWS($A$3:A113),Observaciones!$N$3:$N$147,0))="","",INDEX(Observaciones!E$3:E$147,MATCH(ROWS($A$3:A113),Observaciones!$N$3:$N$147,0))),"")</f>
        <v/>
      </c>
      <c r="F113" s="30" t="str">
        <f>IFERROR(IF(INDEX(Observaciones!F$3:F$147,MATCH(ROWS($A$3:A113),Observaciones!$N$3:$N$147,0))="","",INDEX(Observaciones!F$3:F$147,MATCH(ROWS($A$3:A113),Observaciones!$N$3:$N$147,0))),"")</f>
        <v/>
      </c>
      <c r="G113" s="32" t="str">
        <f>IFERROR(IF(INDEX(Observaciones!I$3:I$147,MATCH(ROWS($A$3:A113),Observaciones!$N$3:$N$147,0))="","",INDEX(Observaciones!I$3:I$147,MATCH(ROWS($A$3:A113),Observaciones!$N$3:$N$147,0))),"")</f>
        <v/>
      </c>
      <c r="H113" s="33" t="str">
        <f>IFERROR(IF(INDEX(Observaciones!J$3:J$147,MATCH(ROWS($A$3:A113),Observaciones!$N$3:$N$147,0))="","",INDEX(Observaciones!J$3:J$147,MATCH(ROWS($A$3:A113),Observaciones!$N$3:$N$147,0))),"")</f>
        <v/>
      </c>
    </row>
    <row r="114" spans="1:8" s="10" customFormat="1" ht="28.95" customHeight="1" x14ac:dyDescent="0.3">
      <c r="A114" s="30" t="str">
        <f>IFERROR(IF(INDEX(Observaciones!A$3:A$147,MATCH(ROWS($A$3:A114),Observaciones!$N$3:$N$147,0))="","",INDEX(Observaciones!A$3:A$147,MATCH(ROWS($A$3:A114),Observaciones!$N$3:$N$147,0))),"")</f>
        <v/>
      </c>
      <c r="B114" s="31" t="str">
        <f>IFERROR(IF(INDEX(Observaciones!C$3:C$147,MATCH(ROWS($A$3:A114),Observaciones!$N$3:$N$147,0))="","",INDEX(Observaciones!C$3:C$147,MATCH(ROWS($A$3:A114),Observaciones!$N$3:$N$147,0))),"")</f>
        <v/>
      </c>
      <c r="C114" s="32" t="str">
        <f>IFERROR(IF(INDEX(Observaciones!B$3:B$147,MATCH(ROWS($A$3:A114),Observaciones!$N$3:$N$147,0))="","",INDEX(Observaciones!B$3:B$147,MATCH(ROWS($A$3:A114),Observaciones!$N$3:$N$147,0))),"")</f>
        <v/>
      </c>
      <c r="D114" s="30" t="str">
        <f>IFERROR(IF(INDEX(Observaciones!D$3:D$147,MATCH(ROWS($A$3:A114),Observaciones!$N$3:$N$147,0))="","",INDEX(Observaciones!D$3:D$147,MATCH(ROWS($A$3:A114),Observaciones!$N$3:$N$147,0))),"")</f>
        <v/>
      </c>
      <c r="E114" s="33" t="str">
        <f>IFERROR(IF(INDEX(Observaciones!E$3:E$147,MATCH(ROWS($A$3:A114),Observaciones!$N$3:$N$147,0))="","",INDEX(Observaciones!E$3:E$147,MATCH(ROWS($A$3:A114),Observaciones!$N$3:$N$147,0))),"")</f>
        <v/>
      </c>
      <c r="F114" s="30" t="str">
        <f>IFERROR(IF(INDEX(Observaciones!F$3:F$147,MATCH(ROWS($A$3:A114),Observaciones!$N$3:$N$147,0))="","",INDEX(Observaciones!F$3:F$147,MATCH(ROWS($A$3:A114),Observaciones!$N$3:$N$147,0))),"")</f>
        <v/>
      </c>
      <c r="G114" s="32" t="str">
        <f>IFERROR(IF(INDEX(Observaciones!I$3:I$147,MATCH(ROWS($A$3:A114),Observaciones!$N$3:$N$147,0))="","",INDEX(Observaciones!I$3:I$147,MATCH(ROWS($A$3:A114),Observaciones!$N$3:$N$147,0))),"")</f>
        <v/>
      </c>
      <c r="H114" s="33" t="str">
        <f>IFERROR(IF(INDEX(Observaciones!J$3:J$147,MATCH(ROWS($A$3:A114),Observaciones!$N$3:$N$147,0))="","",INDEX(Observaciones!J$3:J$147,MATCH(ROWS($A$3:A114),Observaciones!$N$3:$N$147,0))),"")</f>
        <v/>
      </c>
    </row>
    <row r="115" spans="1:8" s="10" customFormat="1" ht="28.95" customHeight="1" x14ac:dyDescent="0.3">
      <c r="A115" s="30" t="str">
        <f>IFERROR(IF(INDEX(Observaciones!A$3:A$147,MATCH(ROWS($A$3:A115),Observaciones!$N$3:$N$147,0))="","",INDEX(Observaciones!A$3:A$147,MATCH(ROWS($A$3:A115),Observaciones!$N$3:$N$147,0))),"")</f>
        <v/>
      </c>
      <c r="B115" s="31" t="str">
        <f>IFERROR(IF(INDEX(Observaciones!C$3:C$147,MATCH(ROWS($A$3:A115),Observaciones!$N$3:$N$147,0))="","",INDEX(Observaciones!C$3:C$147,MATCH(ROWS($A$3:A115),Observaciones!$N$3:$N$147,0))),"")</f>
        <v/>
      </c>
      <c r="C115" s="32" t="str">
        <f>IFERROR(IF(INDEX(Observaciones!B$3:B$147,MATCH(ROWS($A$3:A115),Observaciones!$N$3:$N$147,0))="","",INDEX(Observaciones!B$3:B$147,MATCH(ROWS($A$3:A115),Observaciones!$N$3:$N$147,0))),"")</f>
        <v/>
      </c>
      <c r="D115" s="30" t="str">
        <f>IFERROR(IF(INDEX(Observaciones!D$3:D$147,MATCH(ROWS($A$3:A115),Observaciones!$N$3:$N$147,0))="","",INDEX(Observaciones!D$3:D$147,MATCH(ROWS($A$3:A115),Observaciones!$N$3:$N$147,0))),"")</f>
        <v/>
      </c>
      <c r="E115" s="33" t="str">
        <f>IFERROR(IF(INDEX(Observaciones!E$3:E$147,MATCH(ROWS($A$3:A115),Observaciones!$N$3:$N$147,0))="","",INDEX(Observaciones!E$3:E$147,MATCH(ROWS($A$3:A115),Observaciones!$N$3:$N$147,0))),"")</f>
        <v/>
      </c>
      <c r="F115" s="30" t="str">
        <f>IFERROR(IF(INDEX(Observaciones!F$3:F$147,MATCH(ROWS($A$3:A115),Observaciones!$N$3:$N$147,0))="","",INDEX(Observaciones!F$3:F$147,MATCH(ROWS($A$3:A115),Observaciones!$N$3:$N$147,0))),"")</f>
        <v/>
      </c>
      <c r="G115" s="32" t="str">
        <f>IFERROR(IF(INDEX(Observaciones!I$3:I$147,MATCH(ROWS($A$3:A115),Observaciones!$N$3:$N$147,0))="","",INDEX(Observaciones!I$3:I$147,MATCH(ROWS($A$3:A115),Observaciones!$N$3:$N$147,0))),"")</f>
        <v/>
      </c>
      <c r="H115" s="33" t="str">
        <f>IFERROR(IF(INDEX(Observaciones!J$3:J$147,MATCH(ROWS($A$3:A115),Observaciones!$N$3:$N$147,0))="","",INDEX(Observaciones!J$3:J$147,MATCH(ROWS($A$3:A115),Observaciones!$N$3:$N$147,0))),"")</f>
        <v/>
      </c>
    </row>
    <row r="116" spans="1:8" s="10" customFormat="1" ht="28.95" customHeight="1" x14ac:dyDescent="0.3">
      <c r="A116" s="30" t="str">
        <f>IFERROR(IF(INDEX(Observaciones!A$3:A$147,MATCH(ROWS($A$3:A116),Observaciones!$N$3:$N$147,0))="","",INDEX(Observaciones!A$3:A$147,MATCH(ROWS($A$3:A116),Observaciones!$N$3:$N$147,0))),"")</f>
        <v/>
      </c>
      <c r="B116" s="31" t="str">
        <f>IFERROR(IF(INDEX(Observaciones!C$3:C$147,MATCH(ROWS($A$3:A116),Observaciones!$N$3:$N$147,0))="","",INDEX(Observaciones!C$3:C$147,MATCH(ROWS($A$3:A116),Observaciones!$N$3:$N$147,0))),"")</f>
        <v/>
      </c>
      <c r="C116" s="32" t="str">
        <f>IFERROR(IF(INDEX(Observaciones!B$3:B$147,MATCH(ROWS($A$3:A116),Observaciones!$N$3:$N$147,0))="","",INDEX(Observaciones!B$3:B$147,MATCH(ROWS($A$3:A116),Observaciones!$N$3:$N$147,0))),"")</f>
        <v/>
      </c>
      <c r="D116" s="30" t="str">
        <f>IFERROR(IF(INDEX(Observaciones!D$3:D$147,MATCH(ROWS($A$3:A116),Observaciones!$N$3:$N$147,0))="","",INDEX(Observaciones!D$3:D$147,MATCH(ROWS($A$3:A116),Observaciones!$N$3:$N$147,0))),"")</f>
        <v/>
      </c>
      <c r="E116" s="33" t="str">
        <f>IFERROR(IF(INDEX(Observaciones!E$3:E$147,MATCH(ROWS($A$3:A116),Observaciones!$N$3:$N$147,0))="","",INDEX(Observaciones!E$3:E$147,MATCH(ROWS($A$3:A116),Observaciones!$N$3:$N$147,0))),"")</f>
        <v/>
      </c>
      <c r="F116" s="30" t="str">
        <f>IFERROR(IF(INDEX(Observaciones!F$3:F$147,MATCH(ROWS($A$3:A116),Observaciones!$N$3:$N$147,0))="","",INDEX(Observaciones!F$3:F$147,MATCH(ROWS($A$3:A116),Observaciones!$N$3:$N$147,0))),"")</f>
        <v/>
      </c>
      <c r="G116" s="32" t="str">
        <f>IFERROR(IF(INDEX(Observaciones!I$3:I$147,MATCH(ROWS($A$3:A116),Observaciones!$N$3:$N$147,0))="","",INDEX(Observaciones!I$3:I$147,MATCH(ROWS($A$3:A116),Observaciones!$N$3:$N$147,0))),"")</f>
        <v/>
      </c>
      <c r="H116" s="33" t="str">
        <f>IFERROR(IF(INDEX(Observaciones!J$3:J$147,MATCH(ROWS($A$3:A116),Observaciones!$N$3:$N$147,0))="","",INDEX(Observaciones!J$3:J$147,MATCH(ROWS($A$3:A116),Observaciones!$N$3:$N$147,0))),"")</f>
        <v/>
      </c>
    </row>
    <row r="117" spans="1:8" s="10" customFormat="1" ht="28.95" customHeight="1" x14ac:dyDescent="0.3">
      <c r="A117" s="30" t="str">
        <f>IFERROR(IF(INDEX(Observaciones!A$3:A$147,MATCH(ROWS($A$3:A117),Observaciones!$N$3:$N$147,0))="","",INDEX(Observaciones!A$3:A$147,MATCH(ROWS($A$3:A117),Observaciones!$N$3:$N$147,0))),"")</f>
        <v/>
      </c>
      <c r="B117" s="31" t="str">
        <f>IFERROR(IF(INDEX(Observaciones!C$3:C$147,MATCH(ROWS($A$3:A117),Observaciones!$N$3:$N$147,0))="","",INDEX(Observaciones!C$3:C$147,MATCH(ROWS($A$3:A117),Observaciones!$N$3:$N$147,0))),"")</f>
        <v/>
      </c>
      <c r="C117" s="32" t="str">
        <f>IFERROR(IF(INDEX(Observaciones!B$3:B$147,MATCH(ROWS($A$3:A117),Observaciones!$N$3:$N$147,0))="","",INDEX(Observaciones!B$3:B$147,MATCH(ROWS($A$3:A117),Observaciones!$N$3:$N$147,0))),"")</f>
        <v/>
      </c>
      <c r="D117" s="30" t="str">
        <f>IFERROR(IF(INDEX(Observaciones!D$3:D$147,MATCH(ROWS($A$3:A117),Observaciones!$N$3:$N$147,0))="","",INDEX(Observaciones!D$3:D$147,MATCH(ROWS($A$3:A117),Observaciones!$N$3:$N$147,0))),"")</f>
        <v/>
      </c>
      <c r="E117" s="33" t="str">
        <f>IFERROR(IF(INDEX(Observaciones!E$3:E$147,MATCH(ROWS($A$3:A117),Observaciones!$N$3:$N$147,0))="","",INDEX(Observaciones!E$3:E$147,MATCH(ROWS($A$3:A117),Observaciones!$N$3:$N$147,0))),"")</f>
        <v/>
      </c>
      <c r="F117" s="30" t="str">
        <f>IFERROR(IF(INDEX(Observaciones!F$3:F$147,MATCH(ROWS($A$3:A117),Observaciones!$N$3:$N$147,0))="","",INDEX(Observaciones!F$3:F$147,MATCH(ROWS($A$3:A117),Observaciones!$N$3:$N$147,0))),"")</f>
        <v/>
      </c>
      <c r="G117" s="32" t="str">
        <f>IFERROR(IF(INDEX(Observaciones!I$3:I$147,MATCH(ROWS($A$3:A117),Observaciones!$N$3:$N$147,0))="","",INDEX(Observaciones!I$3:I$147,MATCH(ROWS($A$3:A117),Observaciones!$N$3:$N$147,0))),"")</f>
        <v/>
      </c>
      <c r="H117" s="33" t="str">
        <f>IFERROR(IF(INDEX(Observaciones!J$3:J$147,MATCH(ROWS($A$3:A117),Observaciones!$N$3:$N$147,0))="","",INDEX(Observaciones!J$3:J$147,MATCH(ROWS($A$3:A117),Observaciones!$N$3:$N$147,0))),"")</f>
        <v/>
      </c>
    </row>
    <row r="118" spans="1:8" s="10" customFormat="1" ht="28.95" customHeight="1" x14ac:dyDescent="0.3">
      <c r="A118" s="30" t="str">
        <f>IFERROR(IF(INDEX(Observaciones!A$3:A$147,MATCH(ROWS($A$3:A118),Observaciones!$N$3:$N$147,0))="","",INDEX(Observaciones!A$3:A$147,MATCH(ROWS($A$3:A118),Observaciones!$N$3:$N$147,0))),"")</f>
        <v/>
      </c>
      <c r="B118" s="31" t="str">
        <f>IFERROR(IF(INDEX(Observaciones!C$3:C$147,MATCH(ROWS($A$3:A118),Observaciones!$N$3:$N$147,0))="","",INDEX(Observaciones!C$3:C$147,MATCH(ROWS($A$3:A118),Observaciones!$N$3:$N$147,0))),"")</f>
        <v/>
      </c>
      <c r="C118" s="32" t="str">
        <f>IFERROR(IF(INDEX(Observaciones!B$3:B$147,MATCH(ROWS($A$3:A118),Observaciones!$N$3:$N$147,0))="","",INDEX(Observaciones!B$3:B$147,MATCH(ROWS($A$3:A118),Observaciones!$N$3:$N$147,0))),"")</f>
        <v/>
      </c>
      <c r="D118" s="30" t="str">
        <f>IFERROR(IF(INDEX(Observaciones!D$3:D$147,MATCH(ROWS($A$3:A118),Observaciones!$N$3:$N$147,0))="","",INDEX(Observaciones!D$3:D$147,MATCH(ROWS($A$3:A118),Observaciones!$N$3:$N$147,0))),"")</f>
        <v/>
      </c>
      <c r="E118" s="33" t="str">
        <f>IFERROR(IF(INDEX(Observaciones!E$3:E$147,MATCH(ROWS($A$3:A118),Observaciones!$N$3:$N$147,0))="","",INDEX(Observaciones!E$3:E$147,MATCH(ROWS($A$3:A118),Observaciones!$N$3:$N$147,0))),"")</f>
        <v/>
      </c>
      <c r="F118" s="30" t="str">
        <f>IFERROR(IF(INDEX(Observaciones!F$3:F$147,MATCH(ROWS($A$3:A118),Observaciones!$N$3:$N$147,0))="","",INDEX(Observaciones!F$3:F$147,MATCH(ROWS($A$3:A118),Observaciones!$N$3:$N$147,0))),"")</f>
        <v/>
      </c>
      <c r="G118" s="32" t="str">
        <f>IFERROR(IF(INDEX(Observaciones!I$3:I$147,MATCH(ROWS($A$3:A118),Observaciones!$N$3:$N$147,0))="","",INDEX(Observaciones!I$3:I$147,MATCH(ROWS($A$3:A118),Observaciones!$N$3:$N$147,0))),"")</f>
        <v/>
      </c>
      <c r="H118" s="33" t="str">
        <f>IFERROR(IF(INDEX(Observaciones!J$3:J$147,MATCH(ROWS($A$3:A118),Observaciones!$N$3:$N$147,0))="","",INDEX(Observaciones!J$3:J$147,MATCH(ROWS($A$3:A118),Observaciones!$N$3:$N$147,0))),"")</f>
        <v/>
      </c>
    </row>
    <row r="119" spans="1:8" s="10" customFormat="1" ht="28.95" customHeight="1" x14ac:dyDescent="0.3">
      <c r="A119" s="30" t="str">
        <f>IFERROR(IF(INDEX(Observaciones!A$3:A$147,MATCH(ROWS($A$3:A119),Observaciones!$N$3:$N$147,0))="","",INDEX(Observaciones!A$3:A$147,MATCH(ROWS($A$3:A119),Observaciones!$N$3:$N$147,0))),"")</f>
        <v/>
      </c>
      <c r="B119" s="31" t="str">
        <f>IFERROR(IF(INDEX(Observaciones!C$3:C$147,MATCH(ROWS($A$3:A119),Observaciones!$N$3:$N$147,0))="","",INDEX(Observaciones!C$3:C$147,MATCH(ROWS($A$3:A119),Observaciones!$N$3:$N$147,0))),"")</f>
        <v/>
      </c>
      <c r="C119" s="32" t="str">
        <f>IFERROR(IF(INDEX(Observaciones!B$3:B$147,MATCH(ROWS($A$3:A119),Observaciones!$N$3:$N$147,0))="","",INDEX(Observaciones!B$3:B$147,MATCH(ROWS($A$3:A119),Observaciones!$N$3:$N$147,0))),"")</f>
        <v/>
      </c>
      <c r="D119" s="30" t="str">
        <f>IFERROR(IF(INDEX(Observaciones!D$3:D$147,MATCH(ROWS($A$3:A119),Observaciones!$N$3:$N$147,0))="","",INDEX(Observaciones!D$3:D$147,MATCH(ROWS($A$3:A119),Observaciones!$N$3:$N$147,0))),"")</f>
        <v/>
      </c>
      <c r="E119" s="33" t="str">
        <f>IFERROR(IF(INDEX(Observaciones!E$3:E$147,MATCH(ROWS($A$3:A119),Observaciones!$N$3:$N$147,0))="","",INDEX(Observaciones!E$3:E$147,MATCH(ROWS($A$3:A119),Observaciones!$N$3:$N$147,0))),"")</f>
        <v/>
      </c>
      <c r="F119" s="30" t="str">
        <f>IFERROR(IF(INDEX(Observaciones!F$3:F$147,MATCH(ROWS($A$3:A119),Observaciones!$N$3:$N$147,0))="","",INDEX(Observaciones!F$3:F$147,MATCH(ROWS($A$3:A119),Observaciones!$N$3:$N$147,0))),"")</f>
        <v/>
      </c>
      <c r="G119" s="32" t="str">
        <f>IFERROR(IF(INDEX(Observaciones!I$3:I$147,MATCH(ROWS($A$3:A119),Observaciones!$N$3:$N$147,0))="","",INDEX(Observaciones!I$3:I$147,MATCH(ROWS($A$3:A119),Observaciones!$N$3:$N$147,0))),"")</f>
        <v/>
      </c>
      <c r="H119" s="33" t="str">
        <f>IFERROR(IF(INDEX(Observaciones!J$3:J$147,MATCH(ROWS($A$3:A119),Observaciones!$N$3:$N$147,0))="","",INDEX(Observaciones!J$3:J$147,MATCH(ROWS($A$3:A119),Observaciones!$N$3:$N$147,0))),"")</f>
        <v/>
      </c>
    </row>
    <row r="120" spans="1:8" s="10" customFormat="1" ht="28.95" customHeight="1" x14ac:dyDescent="0.3">
      <c r="A120" s="30" t="str">
        <f>IFERROR(IF(INDEX(Observaciones!A$3:A$147,MATCH(ROWS($A$3:A120),Observaciones!$N$3:$N$147,0))="","",INDEX(Observaciones!A$3:A$147,MATCH(ROWS($A$3:A120),Observaciones!$N$3:$N$147,0))),"")</f>
        <v/>
      </c>
      <c r="B120" s="31" t="str">
        <f>IFERROR(IF(INDEX(Observaciones!C$3:C$147,MATCH(ROWS($A$3:A120),Observaciones!$N$3:$N$147,0))="","",INDEX(Observaciones!C$3:C$147,MATCH(ROWS($A$3:A120),Observaciones!$N$3:$N$147,0))),"")</f>
        <v/>
      </c>
      <c r="C120" s="32" t="str">
        <f>IFERROR(IF(INDEX(Observaciones!B$3:B$147,MATCH(ROWS($A$3:A120),Observaciones!$N$3:$N$147,0))="","",INDEX(Observaciones!B$3:B$147,MATCH(ROWS($A$3:A120),Observaciones!$N$3:$N$147,0))),"")</f>
        <v/>
      </c>
      <c r="D120" s="30" t="str">
        <f>IFERROR(IF(INDEX(Observaciones!D$3:D$147,MATCH(ROWS($A$3:A120),Observaciones!$N$3:$N$147,0))="","",INDEX(Observaciones!D$3:D$147,MATCH(ROWS($A$3:A120),Observaciones!$N$3:$N$147,0))),"")</f>
        <v/>
      </c>
      <c r="E120" s="33" t="str">
        <f>IFERROR(IF(INDEX(Observaciones!E$3:E$147,MATCH(ROWS($A$3:A120),Observaciones!$N$3:$N$147,0))="","",INDEX(Observaciones!E$3:E$147,MATCH(ROWS($A$3:A120),Observaciones!$N$3:$N$147,0))),"")</f>
        <v/>
      </c>
      <c r="F120" s="30" t="str">
        <f>IFERROR(IF(INDEX(Observaciones!F$3:F$147,MATCH(ROWS($A$3:A120),Observaciones!$N$3:$N$147,0))="","",INDEX(Observaciones!F$3:F$147,MATCH(ROWS($A$3:A120),Observaciones!$N$3:$N$147,0))),"")</f>
        <v/>
      </c>
      <c r="G120" s="32" t="str">
        <f>IFERROR(IF(INDEX(Observaciones!I$3:I$147,MATCH(ROWS($A$3:A120),Observaciones!$N$3:$N$147,0))="","",INDEX(Observaciones!I$3:I$147,MATCH(ROWS($A$3:A120),Observaciones!$N$3:$N$147,0))),"")</f>
        <v/>
      </c>
      <c r="H120" s="33" t="str">
        <f>IFERROR(IF(INDEX(Observaciones!J$3:J$147,MATCH(ROWS($A$3:A120),Observaciones!$N$3:$N$147,0))="","",INDEX(Observaciones!J$3:J$147,MATCH(ROWS($A$3:A120),Observaciones!$N$3:$N$147,0))),"")</f>
        <v/>
      </c>
    </row>
    <row r="121" spans="1:8" s="10" customFormat="1" ht="28.95" customHeight="1" x14ac:dyDescent="0.3">
      <c r="A121" s="30" t="str">
        <f>IFERROR(IF(INDEX(Observaciones!A$3:A$147,MATCH(ROWS($A$3:A121),Observaciones!$N$3:$N$147,0))="","",INDEX(Observaciones!A$3:A$147,MATCH(ROWS($A$3:A121),Observaciones!$N$3:$N$147,0))),"")</f>
        <v/>
      </c>
      <c r="B121" s="31" t="str">
        <f>IFERROR(IF(INDEX(Observaciones!C$3:C$147,MATCH(ROWS($A$3:A121),Observaciones!$N$3:$N$147,0))="","",INDEX(Observaciones!C$3:C$147,MATCH(ROWS($A$3:A121),Observaciones!$N$3:$N$147,0))),"")</f>
        <v/>
      </c>
      <c r="C121" s="32" t="str">
        <f>IFERROR(IF(INDEX(Observaciones!B$3:B$147,MATCH(ROWS($A$3:A121),Observaciones!$N$3:$N$147,0))="","",INDEX(Observaciones!B$3:B$147,MATCH(ROWS($A$3:A121),Observaciones!$N$3:$N$147,0))),"")</f>
        <v/>
      </c>
      <c r="D121" s="30" t="str">
        <f>IFERROR(IF(INDEX(Observaciones!D$3:D$147,MATCH(ROWS($A$3:A121),Observaciones!$N$3:$N$147,0))="","",INDEX(Observaciones!D$3:D$147,MATCH(ROWS($A$3:A121),Observaciones!$N$3:$N$147,0))),"")</f>
        <v/>
      </c>
      <c r="E121" s="33" t="str">
        <f>IFERROR(IF(INDEX(Observaciones!E$3:E$147,MATCH(ROWS($A$3:A121),Observaciones!$N$3:$N$147,0))="","",INDEX(Observaciones!E$3:E$147,MATCH(ROWS($A$3:A121),Observaciones!$N$3:$N$147,0))),"")</f>
        <v/>
      </c>
      <c r="F121" s="30" t="str">
        <f>IFERROR(IF(INDEX(Observaciones!F$3:F$147,MATCH(ROWS($A$3:A121),Observaciones!$N$3:$N$147,0))="","",INDEX(Observaciones!F$3:F$147,MATCH(ROWS($A$3:A121),Observaciones!$N$3:$N$147,0))),"")</f>
        <v/>
      </c>
      <c r="G121" s="32" t="str">
        <f>IFERROR(IF(INDEX(Observaciones!I$3:I$147,MATCH(ROWS($A$3:A121),Observaciones!$N$3:$N$147,0))="","",INDEX(Observaciones!I$3:I$147,MATCH(ROWS($A$3:A121),Observaciones!$N$3:$N$147,0))),"")</f>
        <v/>
      </c>
      <c r="H121" s="33" t="str">
        <f>IFERROR(IF(INDEX(Observaciones!J$3:J$147,MATCH(ROWS($A$3:A121),Observaciones!$N$3:$N$147,0))="","",INDEX(Observaciones!J$3:J$147,MATCH(ROWS($A$3:A121),Observaciones!$N$3:$N$147,0))),"")</f>
        <v/>
      </c>
    </row>
    <row r="122" spans="1:8" s="10" customFormat="1" ht="28.95" customHeight="1" x14ac:dyDescent="0.3">
      <c r="A122" s="30" t="str">
        <f>IFERROR(IF(INDEX(Observaciones!A$3:A$147,MATCH(ROWS($A$3:A122),Observaciones!$N$3:$N$147,0))="","",INDEX(Observaciones!A$3:A$147,MATCH(ROWS($A$3:A122),Observaciones!$N$3:$N$147,0))),"")</f>
        <v/>
      </c>
      <c r="B122" s="31" t="str">
        <f>IFERROR(IF(INDEX(Observaciones!C$3:C$147,MATCH(ROWS($A$3:A122),Observaciones!$N$3:$N$147,0))="","",INDEX(Observaciones!C$3:C$147,MATCH(ROWS($A$3:A122),Observaciones!$N$3:$N$147,0))),"")</f>
        <v/>
      </c>
      <c r="C122" s="32" t="str">
        <f>IFERROR(IF(INDEX(Observaciones!B$3:B$147,MATCH(ROWS($A$3:A122),Observaciones!$N$3:$N$147,0))="","",INDEX(Observaciones!B$3:B$147,MATCH(ROWS($A$3:A122),Observaciones!$N$3:$N$147,0))),"")</f>
        <v/>
      </c>
      <c r="D122" s="30" t="str">
        <f>IFERROR(IF(INDEX(Observaciones!D$3:D$147,MATCH(ROWS($A$3:A122),Observaciones!$N$3:$N$147,0))="","",INDEX(Observaciones!D$3:D$147,MATCH(ROWS($A$3:A122),Observaciones!$N$3:$N$147,0))),"")</f>
        <v/>
      </c>
      <c r="E122" s="33" t="str">
        <f>IFERROR(IF(INDEX(Observaciones!E$3:E$147,MATCH(ROWS($A$3:A122),Observaciones!$N$3:$N$147,0))="","",INDEX(Observaciones!E$3:E$147,MATCH(ROWS($A$3:A122),Observaciones!$N$3:$N$147,0))),"")</f>
        <v/>
      </c>
      <c r="F122" s="30" t="str">
        <f>IFERROR(IF(INDEX(Observaciones!F$3:F$147,MATCH(ROWS($A$3:A122),Observaciones!$N$3:$N$147,0))="","",INDEX(Observaciones!F$3:F$147,MATCH(ROWS($A$3:A122),Observaciones!$N$3:$N$147,0))),"")</f>
        <v/>
      </c>
      <c r="G122" s="32" t="str">
        <f>IFERROR(IF(INDEX(Observaciones!I$3:I$147,MATCH(ROWS($A$3:A122),Observaciones!$N$3:$N$147,0))="","",INDEX(Observaciones!I$3:I$147,MATCH(ROWS($A$3:A122),Observaciones!$N$3:$N$147,0))),"")</f>
        <v/>
      </c>
      <c r="H122" s="33" t="str">
        <f>IFERROR(IF(INDEX(Observaciones!J$3:J$147,MATCH(ROWS($A$3:A122),Observaciones!$N$3:$N$147,0))="","",INDEX(Observaciones!J$3:J$147,MATCH(ROWS($A$3:A122),Observaciones!$N$3:$N$147,0))),"")</f>
        <v/>
      </c>
    </row>
    <row r="123" spans="1:8" s="10" customFormat="1" ht="28.95" customHeight="1" x14ac:dyDescent="0.3">
      <c r="A123" s="30" t="str">
        <f>IFERROR(IF(INDEX(Observaciones!A$3:A$147,MATCH(ROWS($A$3:A123),Observaciones!$N$3:$N$147,0))="","",INDEX(Observaciones!A$3:A$147,MATCH(ROWS($A$3:A123),Observaciones!$N$3:$N$147,0))),"")</f>
        <v/>
      </c>
      <c r="B123" s="31" t="str">
        <f>IFERROR(IF(INDEX(Observaciones!C$3:C$147,MATCH(ROWS($A$3:A123),Observaciones!$N$3:$N$147,0))="","",INDEX(Observaciones!C$3:C$147,MATCH(ROWS($A$3:A123),Observaciones!$N$3:$N$147,0))),"")</f>
        <v/>
      </c>
      <c r="C123" s="32" t="str">
        <f>IFERROR(IF(INDEX(Observaciones!B$3:B$147,MATCH(ROWS($A$3:A123),Observaciones!$N$3:$N$147,0))="","",INDEX(Observaciones!B$3:B$147,MATCH(ROWS($A$3:A123),Observaciones!$N$3:$N$147,0))),"")</f>
        <v/>
      </c>
      <c r="D123" s="30" t="str">
        <f>IFERROR(IF(INDEX(Observaciones!D$3:D$147,MATCH(ROWS($A$3:A123),Observaciones!$N$3:$N$147,0))="","",INDEX(Observaciones!D$3:D$147,MATCH(ROWS($A$3:A123),Observaciones!$N$3:$N$147,0))),"")</f>
        <v/>
      </c>
      <c r="E123" s="33" t="str">
        <f>IFERROR(IF(INDEX(Observaciones!E$3:E$147,MATCH(ROWS($A$3:A123),Observaciones!$N$3:$N$147,0))="","",INDEX(Observaciones!E$3:E$147,MATCH(ROWS($A$3:A123),Observaciones!$N$3:$N$147,0))),"")</f>
        <v/>
      </c>
      <c r="F123" s="30" t="str">
        <f>IFERROR(IF(INDEX(Observaciones!F$3:F$147,MATCH(ROWS($A$3:A123),Observaciones!$N$3:$N$147,0))="","",INDEX(Observaciones!F$3:F$147,MATCH(ROWS($A$3:A123),Observaciones!$N$3:$N$147,0))),"")</f>
        <v/>
      </c>
      <c r="G123" s="32" t="str">
        <f>IFERROR(IF(INDEX(Observaciones!I$3:I$147,MATCH(ROWS($A$3:A123),Observaciones!$N$3:$N$147,0))="","",INDEX(Observaciones!I$3:I$147,MATCH(ROWS($A$3:A123),Observaciones!$N$3:$N$147,0))),"")</f>
        <v/>
      </c>
      <c r="H123" s="33" t="str">
        <f>IFERROR(IF(INDEX(Observaciones!J$3:J$147,MATCH(ROWS($A$3:A123),Observaciones!$N$3:$N$147,0))="","",INDEX(Observaciones!J$3:J$147,MATCH(ROWS($A$3:A123),Observaciones!$N$3:$N$147,0))),"")</f>
        <v/>
      </c>
    </row>
    <row r="124" spans="1:8" s="10" customFormat="1" ht="28.95" customHeight="1" x14ac:dyDescent="0.3">
      <c r="A124" s="30" t="str">
        <f>IFERROR(IF(INDEX(Observaciones!A$3:A$147,MATCH(ROWS($A$3:A124),Observaciones!$N$3:$N$147,0))="","",INDEX(Observaciones!A$3:A$147,MATCH(ROWS($A$3:A124),Observaciones!$N$3:$N$147,0))),"")</f>
        <v/>
      </c>
      <c r="B124" s="31" t="str">
        <f>IFERROR(IF(INDEX(Observaciones!C$3:C$147,MATCH(ROWS($A$3:A124),Observaciones!$N$3:$N$147,0))="","",INDEX(Observaciones!C$3:C$147,MATCH(ROWS($A$3:A124),Observaciones!$N$3:$N$147,0))),"")</f>
        <v/>
      </c>
      <c r="C124" s="32" t="str">
        <f>IFERROR(IF(INDEX(Observaciones!B$3:B$147,MATCH(ROWS($A$3:A124),Observaciones!$N$3:$N$147,0))="","",INDEX(Observaciones!B$3:B$147,MATCH(ROWS($A$3:A124),Observaciones!$N$3:$N$147,0))),"")</f>
        <v/>
      </c>
      <c r="D124" s="30" t="str">
        <f>IFERROR(IF(INDEX(Observaciones!D$3:D$147,MATCH(ROWS($A$3:A124),Observaciones!$N$3:$N$147,0))="","",INDEX(Observaciones!D$3:D$147,MATCH(ROWS($A$3:A124),Observaciones!$N$3:$N$147,0))),"")</f>
        <v/>
      </c>
      <c r="E124" s="33" t="str">
        <f>IFERROR(IF(INDEX(Observaciones!E$3:E$147,MATCH(ROWS($A$3:A124),Observaciones!$N$3:$N$147,0))="","",INDEX(Observaciones!E$3:E$147,MATCH(ROWS($A$3:A124),Observaciones!$N$3:$N$147,0))),"")</f>
        <v/>
      </c>
      <c r="F124" s="30" t="str">
        <f>IFERROR(IF(INDEX(Observaciones!F$3:F$147,MATCH(ROWS($A$3:A124),Observaciones!$N$3:$N$147,0))="","",INDEX(Observaciones!F$3:F$147,MATCH(ROWS($A$3:A124),Observaciones!$N$3:$N$147,0))),"")</f>
        <v/>
      </c>
      <c r="G124" s="32" t="str">
        <f>IFERROR(IF(INDEX(Observaciones!I$3:I$147,MATCH(ROWS($A$3:A124),Observaciones!$N$3:$N$147,0))="","",INDEX(Observaciones!I$3:I$147,MATCH(ROWS($A$3:A124),Observaciones!$N$3:$N$147,0))),"")</f>
        <v/>
      </c>
      <c r="H124" s="33" t="str">
        <f>IFERROR(IF(INDEX(Observaciones!J$3:J$147,MATCH(ROWS($A$3:A124),Observaciones!$N$3:$N$147,0))="","",INDEX(Observaciones!J$3:J$147,MATCH(ROWS($A$3:A124),Observaciones!$N$3:$N$147,0))),"")</f>
        <v/>
      </c>
    </row>
    <row r="125" spans="1:8" s="10" customFormat="1" ht="28.95" customHeight="1" x14ac:dyDescent="0.3">
      <c r="A125" s="30" t="str">
        <f>IFERROR(IF(INDEX(Observaciones!A$3:A$147,MATCH(ROWS($A$3:A125),Observaciones!$N$3:$N$147,0))="","",INDEX(Observaciones!A$3:A$147,MATCH(ROWS($A$3:A125),Observaciones!$N$3:$N$147,0))),"")</f>
        <v/>
      </c>
      <c r="B125" s="31" t="str">
        <f>IFERROR(IF(INDEX(Observaciones!C$3:C$147,MATCH(ROWS($A$3:A125),Observaciones!$N$3:$N$147,0))="","",INDEX(Observaciones!C$3:C$147,MATCH(ROWS($A$3:A125),Observaciones!$N$3:$N$147,0))),"")</f>
        <v/>
      </c>
      <c r="C125" s="32" t="str">
        <f>IFERROR(IF(INDEX(Observaciones!B$3:B$147,MATCH(ROWS($A$3:A125),Observaciones!$N$3:$N$147,0))="","",INDEX(Observaciones!B$3:B$147,MATCH(ROWS($A$3:A125),Observaciones!$N$3:$N$147,0))),"")</f>
        <v/>
      </c>
      <c r="D125" s="30" t="str">
        <f>IFERROR(IF(INDEX(Observaciones!D$3:D$147,MATCH(ROWS($A$3:A125),Observaciones!$N$3:$N$147,0))="","",INDEX(Observaciones!D$3:D$147,MATCH(ROWS($A$3:A125),Observaciones!$N$3:$N$147,0))),"")</f>
        <v/>
      </c>
      <c r="E125" s="33" t="str">
        <f>IFERROR(IF(INDEX(Observaciones!E$3:E$147,MATCH(ROWS($A$3:A125),Observaciones!$N$3:$N$147,0))="","",INDEX(Observaciones!E$3:E$147,MATCH(ROWS($A$3:A125),Observaciones!$N$3:$N$147,0))),"")</f>
        <v/>
      </c>
      <c r="F125" s="30" t="str">
        <f>IFERROR(IF(INDEX(Observaciones!F$3:F$147,MATCH(ROWS($A$3:A125),Observaciones!$N$3:$N$147,0))="","",INDEX(Observaciones!F$3:F$147,MATCH(ROWS($A$3:A125),Observaciones!$N$3:$N$147,0))),"")</f>
        <v/>
      </c>
      <c r="G125" s="32" t="str">
        <f>IFERROR(IF(INDEX(Observaciones!I$3:I$147,MATCH(ROWS($A$3:A125),Observaciones!$N$3:$N$147,0))="","",INDEX(Observaciones!I$3:I$147,MATCH(ROWS($A$3:A125),Observaciones!$N$3:$N$147,0))),"")</f>
        <v/>
      </c>
      <c r="H125" s="33" t="str">
        <f>IFERROR(IF(INDEX(Observaciones!J$3:J$147,MATCH(ROWS($A$3:A125),Observaciones!$N$3:$N$147,0))="","",INDEX(Observaciones!J$3:J$147,MATCH(ROWS($A$3:A125),Observaciones!$N$3:$N$147,0))),"")</f>
        <v/>
      </c>
    </row>
    <row r="126" spans="1:8" s="10" customFormat="1" ht="28.95" customHeight="1" x14ac:dyDescent="0.3">
      <c r="A126" s="30" t="str">
        <f>IFERROR(IF(INDEX(Observaciones!A$3:A$147,MATCH(ROWS($A$3:A126),Observaciones!$N$3:$N$147,0))="","",INDEX(Observaciones!A$3:A$147,MATCH(ROWS($A$3:A126),Observaciones!$N$3:$N$147,0))),"")</f>
        <v/>
      </c>
      <c r="B126" s="31" t="str">
        <f>IFERROR(IF(INDEX(Observaciones!C$3:C$147,MATCH(ROWS($A$3:A126),Observaciones!$N$3:$N$147,0))="","",INDEX(Observaciones!C$3:C$147,MATCH(ROWS($A$3:A126),Observaciones!$N$3:$N$147,0))),"")</f>
        <v/>
      </c>
      <c r="C126" s="32" t="str">
        <f>IFERROR(IF(INDEX(Observaciones!B$3:B$147,MATCH(ROWS($A$3:A126),Observaciones!$N$3:$N$147,0))="","",INDEX(Observaciones!B$3:B$147,MATCH(ROWS($A$3:A126),Observaciones!$N$3:$N$147,0))),"")</f>
        <v/>
      </c>
      <c r="D126" s="30" t="str">
        <f>IFERROR(IF(INDEX(Observaciones!D$3:D$147,MATCH(ROWS($A$3:A126),Observaciones!$N$3:$N$147,0))="","",INDEX(Observaciones!D$3:D$147,MATCH(ROWS($A$3:A126),Observaciones!$N$3:$N$147,0))),"")</f>
        <v/>
      </c>
      <c r="E126" s="33" t="str">
        <f>IFERROR(IF(INDEX(Observaciones!E$3:E$147,MATCH(ROWS($A$3:A126),Observaciones!$N$3:$N$147,0))="","",INDEX(Observaciones!E$3:E$147,MATCH(ROWS($A$3:A126),Observaciones!$N$3:$N$147,0))),"")</f>
        <v/>
      </c>
      <c r="F126" s="30" t="str">
        <f>IFERROR(IF(INDEX(Observaciones!F$3:F$147,MATCH(ROWS($A$3:A126),Observaciones!$N$3:$N$147,0))="","",INDEX(Observaciones!F$3:F$147,MATCH(ROWS($A$3:A126),Observaciones!$N$3:$N$147,0))),"")</f>
        <v/>
      </c>
      <c r="G126" s="32" t="str">
        <f>IFERROR(IF(INDEX(Observaciones!I$3:I$147,MATCH(ROWS($A$3:A126),Observaciones!$N$3:$N$147,0))="","",INDEX(Observaciones!I$3:I$147,MATCH(ROWS($A$3:A126),Observaciones!$N$3:$N$147,0))),"")</f>
        <v/>
      </c>
      <c r="H126" s="33" t="str">
        <f>IFERROR(IF(INDEX(Observaciones!J$3:J$147,MATCH(ROWS($A$3:A126),Observaciones!$N$3:$N$147,0))="","",INDEX(Observaciones!J$3:J$147,MATCH(ROWS($A$3:A126),Observaciones!$N$3:$N$147,0))),"")</f>
        <v/>
      </c>
    </row>
    <row r="127" spans="1:8" s="10" customFormat="1" ht="28.95" customHeight="1" x14ac:dyDescent="0.3">
      <c r="A127" s="30" t="str">
        <f>IFERROR(IF(INDEX(Observaciones!A$3:A$147,MATCH(ROWS($A$3:A127),Observaciones!$N$3:$N$147,0))="","",INDEX(Observaciones!A$3:A$147,MATCH(ROWS($A$3:A127),Observaciones!$N$3:$N$147,0))),"")</f>
        <v/>
      </c>
      <c r="B127" s="31" t="str">
        <f>IFERROR(IF(INDEX(Observaciones!C$3:C$147,MATCH(ROWS($A$3:A127),Observaciones!$N$3:$N$147,0))="","",INDEX(Observaciones!C$3:C$147,MATCH(ROWS($A$3:A127),Observaciones!$N$3:$N$147,0))),"")</f>
        <v/>
      </c>
      <c r="C127" s="32" t="str">
        <f>IFERROR(IF(INDEX(Observaciones!B$3:B$147,MATCH(ROWS($A$3:A127),Observaciones!$N$3:$N$147,0))="","",INDEX(Observaciones!B$3:B$147,MATCH(ROWS($A$3:A127),Observaciones!$N$3:$N$147,0))),"")</f>
        <v/>
      </c>
      <c r="D127" s="30" t="str">
        <f>IFERROR(IF(INDEX(Observaciones!D$3:D$147,MATCH(ROWS($A$3:A127),Observaciones!$N$3:$N$147,0))="","",INDEX(Observaciones!D$3:D$147,MATCH(ROWS($A$3:A127),Observaciones!$N$3:$N$147,0))),"")</f>
        <v/>
      </c>
      <c r="E127" s="33" t="str">
        <f>IFERROR(IF(INDEX(Observaciones!E$3:E$147,MATCH(ROWS($A$3:A127),Observaciones!$N$3:$N$147,0))="","",INDEX(Observaciones!E$3:E$147,MATCH(ROWS($A$3:A127),Observaciones!$N$3:$N$147,0))),"")</f>
        <v/>
      </c>
      <c r="F127" s="30" t="str">
        <f>IFERROR(IF(INDEX(Observaciones!F$3:F$147,MATCH(ROWS($A$3:A127),Observaciones!$N$3:$N$147,0))="","",INDEX(Observaciones!F$3:F$147,MATCH(ROWS($A$3:A127),Observaciones!$N$3:$N$147,0))),"")</f>
        <v/>
      </c>
      <c r="G127" s="32" t="str">
        <f>IFERROR(IF(INDEX(Observaciones!I$3:I$147,MATCH(ROWS($A$3:A127),Observaciones!$N$3:$N$147,0))="","",INDEX(Observaciones!I$3:I$147,MATCH(ROWS($A$3:A127),Observaciones!$N$3:$N$147,0))),"")</f>
        <v/>
      </c>
      <c r="H127" s="33" t="str">
        <f>IFERROR(IF(INDEX(Observaciones!J$3:J$147,MATCH(ROWS($A$3:A127),Observaciones!$N$3:$N$147,0))="","",INDEX(Observaciones!J$3:J$147,MATCH(ROWS($A$3:A127),Observaciones!$N$3:$N$147,0))),"")</f>
        <v/>
      </c>
    </row>
    <row r="128" spans="1:8" s="10" customFormat="1" ht="28.95" customHeight="1" x14ac:dyDescent="0.3">
      <c r="A128" s="30" t="str">
        <f>IFERROR(IF(INDEX(Observaciones!A$3:A$147,MATCH(ROWS($A$3:A128),Observaciones!$N$3:$N$147,0))="","",INDEX(Observaciones!A$3:A$147,MATCH(ROWS($A$3:A128),Observaciones!$N$3:$N$147,0))),"")</f>
        <v/>
      </c>
      <c r="B128" s="31" t="str">
        <f>IFERROR(IF(INDEX(Observaciones!C$3:C$147,MATCH(ROWS($A$3:A128),Observaciones!$N$3:$N$147,0))="","",INDEX(Observaciones!C$3:C$147,MATCH(ROWS($A$3:A128),Observaciones!$N$3:$N$147,0))),"")</f>
        <v/>
      </c>
      <c r="C128" s="32" t="str">
        <f>IFERROR(IF(INDEX(Observaciones!B$3:B$147,MATCH(ROWS($A$3:A128),Observaciones!$N$3:$N$147,0))="","",INDEX(Observaciones!B$3:B$147,MATCH(ROWS($A$3:A128),Observaciones!$N$3:$N$147,0))),"")</f>
        <v/>
      </c>
      <c r="D128" s="30" t="str">
        <f>IFERROR(IF(INDEX(Observaciones!D$3:D$147,MATCH(ROWS($A$3:A128),Observaciones!$N$3:$N$147,0))="","",INDEX(Observaciones!D$3:D$147,MATCH(ROWS($A$3:A128),Observaciones!$N$3:$N$147,0))),"")</f>
        <v/>
      </c>
      <c r="E128" s="33" t="str">
        <f>IFERROR(IF(INDEX(Observaciones!E$3:E$147,MATCH(ROWS($A$3:A128),Observaciones!$N$3:$N$147,0))="","",INDEX(Observaciones!E$3:E$147,MATCH(ROWS($A$3:A128),Observaciones!$N$3:$N$147,0))),"")</f>
        <v/>
      </c>
      <c r="F128" s="30" t="str">
        <f>IFERROR(IF(INDEX(Observaciones!F$3:F$147,MATCH(ROWS($A$3:A128),Observaciones!$N$3:$N$147,0))="","",INDEX(Observaciones!F$3:F$147,MATCH(ROWS($A$3:A128),Observaciones!$N$3:$N$147,0))),"")</f>
        <v/>
      </c>
      <c r="G128" s="32" t="str">
        <f>IFERROR(IF(INDEX(Observaciones!I$3:I$147,MATCH(ROWS($A$3:A128),Observaciones!$N$3:$N$147,0))="","",INDEX(Observaciones!I$3:I$147,MATCH(ROWS($A$3:A128),Observaciones!$N$3:$N$147,0))),"")</f>
        <v/>
      </c>
      <c r="H128" s="33" t="str">
        <f>IFERROR(IF(INDEX(Observaciones!J$3:J$147,MATCH(ROWS($A$3:A128),Observaciones!$N$3:$N$147,0))="","",INDEX(Observaciones!J$3:J$147,MATCH(ROWS($A$3:A128),Observaciones!$N$3:$N$147,0))),"")</f>
        <v/>
      </c>
    </row>
    <row r="129" spans="1:8" s="10" customFormat="1" ht="28.95" customHeight="1" x14ac:dyDescent="0.3">
      <c r="A129" s="30" t="str">
        <f>IFERROR(IF(INDEX(Observaciones!A$3:A$147,MATCH(ROWS($A$3:A129),Observaciones!$N$3:$N$147,0))="","",INDEX(Observaciones!A$3:A$147,MATCH(ROWS($A$3:A129),Observaciones!$N$3:$N$147,0))),"")</f>
        <v/>
      </c>
      <c r="B129" s="31" t="str">
        <f>IFERROR(IF(INDEX(Observaciones!C$3:C$147,MATCH(ROWS($A$3:A129),Observaciones!$N$3:$N$147,0))="","",INDEX(Observaciones!C$3:C$147,MATCH(ROWS($A$3:A129),Observaciones!$N$3:$N$147,0))),"")</f>
        <v/>
      </c>
      <c r="C129" s="32" t="str">
        <f>IFERROR(IF(INDEX(Observaciones!B$3:B$147,MATCH(ROWS($A$3:A129),Observaciones!$N$3:$N$147,0))="","",INDEX(Observaciones!B$3:B$147,MATCH(ROWS($A$3:A129),Observaciones!$N$3:$N$147,0))),"")</f>
        <v/>
      </c>
      <c r="D129" s="30" t="str">
        <f>IFERROR(IF(INDEX(Observaciones!D$3:D$147,MATCH(ROWS($A$3:A129),Observaciones!$N$3:$N$147,0))="","",INDEX(Observaciones!D$3:D$147,MATCH(ROWS($A$3:A129),Observaciones!$N$3:$N$147,0))),"")</f>
        <v/>
      </c>
      <c r="E129" s="33" t="str">
        <f>IFERROR(IF(INDEX(Observaciones!E$3:E$147,MATCH(ROWS($A$3:A129),Observaciones!$N$3:$N$147,0))="","",INDEX(Observaciones!E$3:E$147,MATCH(ROWS($A$3:A129),Observaciones!$N$3:$N$147,0))),"")</f>
        <v/>
      </c>
      <c r="F129" s="30" t="str">
        <f>IFERROR(IF(INDEX(Observaciones!F$3:F$147,MATCH(ROWS($A$3:A129),Observaciones!$N$3:$N$147,0))="","",INDEX(Observaciones!F$3:F$147,MATCH(ROWS($A$3:A129),Observaciones!$N$3:$N$147,0))),"")</f>
        <v/>
      </c>
      <c r="G129" s="32" t="str">
        <f>IFERROR(IF(INDEX(Observaciones!I$3:I$147,MATCH(ROWS($A$3:A129),Observaciones!$N$3:$N$147,0))="","",INDEX(Observaciones!I$3:I$147,MATCH(ROWS($A$3:A129),Observaciones!$N$3:$N$147,0))),"")</f>
        <v/>
      </c>
      <c r="H129" s="33" t="str">
        <f>IFERROR(IF(INDEX(Observaciones!J$3:J$147,MATCH(ROWS($A$3:A129),Observaciones!$N$3:$N$147,0))="","",INDEX(Observaciones!J$3:J$147,MATCH(ROWS($A$3:A129),Observaciones!$N$3:$N$147,0))),"")</f>
        <v/>
      </c>
    </row>
    <row r="130" spans="1:8" s="10" customFormat="1" ht="28.95" customHeight="1" x14ac:dyDescent="0.3">
      <c r="A130" s="30" t="str">
        <f>IFERROR(IF(INDEX(Observaciones!A$3:A$147,MATCH(ROWS($A$3:A130),Observaciones!$N$3:$N$147,0))="","",INDEX(Observaciones!A$3:A$147,MATCH(ROWS($A$3:A130),Observaciones!$N$3:$N$147,0))),"")</f>
        <v/>
      </c>
      <c r="B130" s="31" t="str">
        <f>IFERROR(IF(INDEX(Observaciones!C$3:C$147,MATCH(ROWS($A$3:A130),Observaciones!$N$3:$N$147,0))="","",INDEX(Observaciones!C$3:C$147,MATCH(ROWS($A$3:A130),Observaciones!$N$3:$N$147,0))),"")</f>
        <v/>
      </c>
      <c r="C130" s="32" t="str">
        <f>IFERROR(IF(INDEX(Observaciones!B$3:B$147,MATCH(ROWS($A$3:A130),Observaciones!$N$3:$N$147,0))="","",INDEX(Observaciones!B$3:B$147,MATCH(ROWS($A$3:A130),Observaciones!$N$3:$N$147,0))),"")</f>
        <v/>
      </c>
      <c r="D130" s="30" t="str">
        <f>IFERROR(IF(INDEX(Observaciones!D$3:D$147,MATCH(ROWS($A$3:A130),Observaciones!$N$3:$N$147,0))="","",INDEX(Observaciones!D$3:D$147,MATCH(ROWS($A$3:A130),Observaciones!$N$3:$N$147,0))),"")</f>
        <v/>
      </c>
      <c r="E130" s="33" t="str">
        <f>IFERROR(IF(INDEX(Observaciones!E$3:E$147,MATCH(ROWS($A$3:A130),Observaciones!$N$3:$N$147,0))="","",INDEX(Observaciones!E$3:E$147,MATCH(ROWS($A$3:A130),Observaciones!$N$3:$N$147,0))),"")</f>
        <v/>
      </c>
      <c r="F130" s="30" t="str">
        <f>IFERROR(IF(INDEX(Observaciones!F$3:F$147,MATCH(ROWS($A$3:A130),Observaciones!$N$3:$N$147,0))="","",INDEX(Observaciones!F$3:F$147,MATCH(ROWS($A$3:A130),Observaciones!$N$3:$N$147,0))),"")</f>
        <v/>
      </c>
      <c r="G130" s="32" t="str">
        <f>IFERROR(IF(INDEX(Observaciones!I$3:I$147,MATCH(ROWS($A$3:A130),Observaciones!$N$3:$N$147,0))="","",INDEX(Observaciones!I$3:I$147,MATCH(ROWS($A$3:A130),Observaciones!$N$3:$N$147,0))),"")</f>
        <v/>
      </c>
      <c r="H130" s="33" t="str">
        <f>IFERROR(IF(INDEX(Observaciones!J$3:J$147,MATCH(ROWS($A$3:A130),Observaciones!$N$3:$N$147,0))="","",INDEX(Observaciones!J$3:J$147,MATCH(ROWS($A$3:A130),Observaciones!$N$3:$N$147,0))),"")</f>
        <v/>
      </c>
    </row>
    <row r="131" spans="1:8" s="10" customFormat="1" ht="28.95" customHeight="1" x14ac:dyDescent="0.3">
      <c r="A131" s="30" t="str">
        <f>IFERROR(IF(INDEX(Observaciones!A$3:A$147,MATCH(ROWS($A$3:A131),Observaciones!$N$3:$N$147,0))="","",INDEX(Observaciones!A$3:A$147,MATCH(ROWS($A$3:A131),Observaciones!$N$3:$N$147,0))),"")</f>
        <v/>
      </c>
      <c r="B131" s="31" t="str">
        <f>IFERROR(IF(INDEX(Observaciones!C$3:C$147,MATCH(ROWS($A$3:A131),Observaciones!$N$3:$N$147,0))="","",INDEX(Observaciones!C$3:C$147,MATCH(ROWS($A$3:A131),Observaciones!$N$3:$N$147,0))),"")</f>
        <v/>
      </c>
      <c r="C131" s="32" t="str">
        <f>IFERROR(IF(INDEX(Observaciones!B$3:B$147,MATCH(ROWS($A$3:A131),Observaciones!$N$3:$N$147,0))="","",INDEX(Observaciones!B$3:B$147,MATCH(ROWS($A$3:A131),Observaciones!$N$3:$N$147,0))),"")</f>
        <v/>
      </c>
      <c r="D131" s="30" t="str">
        <f>IFERROR(IF(INDEX(Observaciones!D$3:D$147,MATCH(ROWS($A$3:A131),Observaciones!$N$3:$N$147,0))="","",INDEX(Observaciones!D$3:D$147,MATCH(ROWS($A$3:A131),Observaciones!$N$3:$N$147,0))),"")</f>
        <v/>
      </c>
      <c r="E131" s="33" t="str">
        <f>IFERROR(IF(INDEX(Observaciones!E$3:E$147,MATCH(ROWS($A$3:A131),Observaciones!$N$3:$N$147,0))="","",INDEX(Observaciones!E$3:E$147,MATCH(ROWS($A$3:A131),Observaciones!$N$3:$N$147,0))),"")</f>
        <v/>
      </c>
      <c r="F131" s="30" t="str">
        <f>IFERROR(IF(INDEX(Observaciones!F$3:F$147,MATCH(ROWS($A$3:A131),Observaciones!$N$3:$N$147,0))="","",INDEX(Observaciones!F$3:F$147,MATCH(ROWS($A$3:A131),Observaciones!$N$3:$N$147,0))),"")</f>
        <v/>
      </c>
      <c r="G131" s="32" t="str">
        <f>IFERROR(IF(INDEX(Observaciones!I$3:I$147,MATCH(ROWS($A$3:A131),Observaciones!$N$3:$N$147,0))="","",INDEX(Observaciones!I$3:I$147,MATCH(ROWS($A$3:A131),Observaciones!$N$3:$N$147,0))),"")</f>
        <v/>
      </c>
      <c r="H131" s="33" t="str">
        <f>IFERROR(IF(INDEX(Observaciones!J$3:J$147,MATCH(ROWS($A$3:A131),Observaciones!$N$3:$N$147,0))="","",INDEX(Observaciones!J$3:J$147,MATCH(ROWS($A$3:A131),Observaciones!$N$3:$N$147,0))),"")</f>
        <v/>
      </c>
    </row>
    <row r="132" spans="1:8" s="10" customFormat="1" ht="28.95" customHeight="1" x14ac:dyDescent="0.3">
      <c r="A132" s="30" t="str">
        <f>IFERROR(IF(INDEX(Observaciones!A$3:A$147,MATCH(ROWS($A$3:A132),Observaciones!$N$3:$N$147,0))="","",INDEX(Observaciones!A$3:A$147,MATCH(ROWS($A$3:A132),Observaciones!$N$3:$N$147,0))),"")</f>
        <v/>
      </c>
      <c r="B132" s="31" t="str">
        <f>IFERROR(IF(INDEX(Observaciones!C$3:C$147,MATCH(ROWS($A$3:A132),Observaciones!$N$3:$N$147,0))="","",INDEX(Observaciones!C$3:C$147,MATCH(ROWS($A$3:A132),Observaciones!$N$3:$N$147,0))),"")</f>
        <v/>
      </c>
      <c r="C132" s="32" t="str">
        <f>IFERROR(IF(INDEX(Observaciones!B$3:B$147,MATCH(ROWS($A$3:A132),Observaciones!$N$3:$N$147,0))="","",INDEX(Observaciones!B$3:B$147,MATCH(ROWS($A$3:A132),Observaciones!$N$3:$N$147,0))),"")</f>
        <v/>
      </c>
      <c r="D132" s="30" t="str">
        <f>IFERROR(IF(INDEX(Observaciones!D$3:D$147,MATCH(ROWS($A$3:A132),Observaciones!$N$3:$N$147,0))="","",INDEX(Observaciones!D$3:D$147,MATCH(ROWS($A$3:A132),Observaciones!$N$3:$N$147,0))),"")</f>
        <v/>
      </c>
      <c r="E132" s="33" t="str">
        <f>IFERROR(IF(INDEX(Observaciones!E$3:E$147,MATCH(ROWS($A$3:A132),Observaciones!$N$3:$N$147,0))="","",INDEX(Observaciones!E$3:E$147,MATCH(ROWS($A$3:A132),Observaciones!$N$3:$N$147,0))),"")</f>
        <v/>
      </c>
      <c r="F132" s="30" t="str">
        <f>IFERROR(IF(INDEX(Observaciones!F$3:F$147,MATCH(ROWS($A$3:A132),Observaciones!$N$3:$N$147,0))="","",INDEX(Observaciones!F$3:F$147,MATCH(ROWS($A$3:A132),Observaciones!$N$3:$N$147,0))),"")</f>
        <v/>
      </c>
      <c r="G132" s="32" t="str">
        <f>IFERROR(IF(INDEX(Observaciones!I$3:I$147,MATCH(ROWS($A$3:A132),Observaciones!$N$3:$N$147,0))="","",INDEX(Observaciones!I$3:I$147,MATCH(ROWS($A$3:A132),Observaciones!$N$3:$N$147,0))),"")</f>
        <v/>
      </c>
      <c r="H132" s="33" t="str">
        <f>IFERROR(IF(INDEX(Observaciones!J$3:J$147,MATCH(ROWS($A$3:A132),Observaciones!$N$3:$N$147,0))="","",INDEX(Observaciones!J$3:J$147,MATCH(ROWS($A$3:A132),Observaciones!$N$3:$N$147,0))),"")</f>
        <v/>
      </c>
    </row>
    <row r="133" spans="1:8" s="10" customFormat="1" ht="28.95" customHeight="1" x14ac:dyDescent="0.3">
      <c r="A133" s="30" t="str">
        <f>IFERROR(IF(INDEX(Observaciones!A$3:A$147,MATCH(ROWS($A$3:A133),Observaciones!$N$3:$N$147,0))="","",INDEX(Observaciones!A$3:A$147,MATCH(ROWS($A$3:A133),Observaciones!$N$3:$N$147,0))),"")</f>
        <v/>
      </c>
      <c r="B133" s="31" t="str">
        <f>IFERROR(IF(INDEX(Observaciones!C$3:C$147,MATCH(ROWS($A$3:A133),Observaciones!$N$3:$N$147,0))="","",INDEX(Observaciones!C$3:C$147,MATCH(ROWS($A$3:A133),Observaciones!$N$3:$N$147,0))),"")</f>
        <v/>
      </c>
      <c r="C133" s="32" t="str">
        <f>IFERROR(IF(INDEX(Observaciones!B$3:B$147,MATCH(ROWS($A$3:A133),Observaciones!$N$3:$N$147,0))="","",INDEX(Observaciones!B$3:B$147,MATCH(ROWS($A$3:A133),Observaciones!$N$3:$N$147,0))),"")</f>
        <v/>
      </c>
      <c r="D133" s="30" t="str">
        <f>IFERROR(IF(INDEX(Observaciones!D$3:D$147,MATCH(ROWS($A$3:A133),Observaciones!$N$3:$N$147,0))="","",INDEX(Observaciones!D$3:D$147,MATCH(ROWS($A$3:A133),Observaciones!$N$3:$N$147,0))),"")</f>
        <v/>
      </c>
      <c r="E133" s="33" t="str">
        <f>IFERROR(IF(INDEX(Observaciones!E$3:E$147,MATCH(ROWS($A$3:A133),Observaciones!$N$3:$N$147,0))="","",INDEX(Observaciones!E$3:E$147,MATCH(ROWS($A$3:A133),Observaciones!$N$3:$N$147,0))),"")</f>
        <v/>
      </c>
      <c r="F133" s="30" t="str">
        <f>IFERROR(IF(INDEX(Observaciones!F$3:F$147,MATCH(ROWS($A$3:A133),Observaciones!$N$3:$N$147,0))="","",INDEX(Observaciones!F$3:F$147,MATCH(ROWS($A$3:A133),Observaciones!$N$3:$N$147,0))),"")</f>
        <v/>
      </c>
      <c r="G133" s="32" t="str">
        <f>IFERROR(IF(INDEX(Observaciones!I$3:I$147,MATCH(ROWS($A$3:A133),Observaciones!$N$3:$N$147,0))="","",INDEX(Observaciones!I$3:I$147,MATCH(ROWS($A$3:A133),Observaciones!$N$3:$N$147,0))),"")</f>
        <v/>
      </c>
      <c r="H133" s="33" t="str">
        <f>IFERROR(IF(INDEX(Observaciones!J$3:J$147,MATCH(ROWS($A$3:A133),Observaciones!$N$3:$N$147,0))="","",INDEX(Observaciones!J$3:J$147,MATCH(ROWS($A$3:A133),Observaciones!$N$3:$N$147,0))),"")</f>
        <v/>
      </c>
    </row>
    <row r="134" spans="1:8" s="10" customFormat="1" ht="28.95" customHeight="1" x14ac:dyDescent="0.3">
      <c r="A134" s="30" t="str">
        <f>IFERROR(IF(INDEX(Observaciones!A$3:A$147,MATCH(ROWS($A$3:A134),Observaciones!$N$3:$N$147,0))="","",INDEX(Observaciones!A$3:A$147,MATCH(ROWS($A$3:A134),Observaciones!$N$3:$N$147,0))),"")</f>
        <v/>
      </c>
      <c r="B134" s="31" t="str">
        <f>IFERROR(IF(INDEX(Observaciones!C$3:C$147,MATCH(ROWS($A$3:A134),Observaciones!$N$3:$N$147,0))="","",INDEX(Observaciones!C$3:C$147,MATCH(ROWS($A$3:A134),Observaciones!$N$3:$N$147,0))),"")</f>
        <v/>
      </c>
      <c r="C134" s="32" t="str">
        <f>IFERROR(IF(INDEX(Observaciones!B$3:B$147,MATCH(ROWS($A$3:A134),Observaciones!$N$3:$N$147,0))="","",INDEX(Observaciones!B$3:B$147,MATCH(ROWS($A$3:A134),Observaciones!$N$3:$N$147,0))),"")</f>
        <v/>
      </c>
      <c r="D134" s="30" t="str">
        <f>IFERROR(IF(INDEX(Observaciones!D$3:D$147,MATCH(ROWS($A$3:A134),Observaciones!$N$3:$N$147,0))="","",INDEX(Observaciones!D$3:D$147,MATCH(ROWS($A$3:A134),Observaciones!$N$3:$N$147,0))),"")</f>
        <v/>
      </c>
      <c r="E134" s="33" t="str">
        <f>IFERROR(IF(INDEX(Observaciones!E$3:E$147,MATCH(ROWS($A$3:A134),Observaciones!$N$3:$N$147,0))="","",INDEX(Observaciones!E$3:E$147,MATCH(ROWS($A$3:A134),Observaciones!$N$3:$N$147,0))),"")</f>
        <v/>
      </c>
      <c r="F134" s="30" t="str">
        <f>IFERROR(IF(INDEX(Observaciones!F$3:F$147,MATCH(ROWS($A$3:A134),Observaciones!$N$3:$N$147,0))="","",INDEX(Observaciones!F$3:F$147,MATCH(ROWS($A$3:A134),Observaciones!$N$3:$N$147,0))),"")</f>
        <v/>
      </c>
      <c r="G134" s="32" t="str">
        <f>IFERROR(IF(INDEX(Observaciones!I$3:I$147,MATCH(ROWS($A$3:A134),Observaciones!$N$3:$N$147,0))="","",INDEX(Observaciones!I$3:I$147,MATCH(ROWS($A$3:A134),Observaciones!$N$3:$N$147,0))),"")</f>
        <v/>
      </c>
      <c r="H134" s="33" t="str">
        <f>IFERROR(IF(INDEX(Observaciones!J$3:J$147,MATCH(ROWS($A$3:A134),Observaciones!$N$3:$N$147,0))="","",INDEX(Observaciones!J$3:J$147,MATCH(ROWS($A$3:A134),Observaciones!$N$3:$N$147,0))),"")</f>
        <v/>
      </c>
    </row>
    <row r="135" spans="1:8" s="10" customFormat="1" ht="28.95" customHeight="1" x14ac:dyDescent="0.3">
      <c r="A135" s="30" t="str">
        <f>IFERROR(IF(INDEX(Observaciones!A$3:A$147,MATCH(ROWS($A$3:A135),Observaciones!$N$3:$N$147,0))="","",INDEX(Observaciones!A$3:A$147,MATCH(ROWS($A$3:A135),Observaciones!$N$3:$N$147,0))),"")</f>
        <v/>
      </c>
      <c r="B135" s="31" t="str">
        <f>IFERROR(IF(INDEX(Observaciones!C$3:C$147,MATCH(ROWS($A$3:A135),Observaciones!$N$3:$N$147,0))="","",INDEX(Observaciones!C$3:C$147,MATCH(ROWS($A$3:A135),Observaciones!$N$3:$N$147,0))),"")</f>
        <v/>
      </c>
      <c r="C135" s="32" t="str">
        <f>IFERROR(IF(INDEX(Observaciones!B$3:B$147,MATCH(ROWS($A$3:A135),Observaciones!$N$3:$N$147,0))="","",INDEX(Observaciones!B$3:B$147,MATCH(ROWS($A$3:A135),Observaciones!$N$3:$N$147,0))),"")</f>
        <v/>
      </c>
      <c r="D135" s="30" t="str">
        <f>IFERROR(IF(INDEX(Observaciones!D$3:D$147,MATCH(ROWS($A$3:A135),Observaciones!$N$3:$N$147,0))="","",INDEX(Observaciones!D$3:D$147,MATCH(ROWS($A$3:A135),Observaciones!$N$3:$N$147,0))),"")</f>
        <v/>
      </c>
      <c r="E135" s="33" t="str">
        <f>IFERROR(IF(INDEX(Observaciones!E$3:E$147,MATCH(ROWS($A$3:A135),Observaciones!$N$3:$N$147,0))="","",INDEX(Observaciones!E$3:E$147,MATCH(ROWS($A$3:A135),Observaciones!$N$3:$N$147,0))),"")</f>
        <v/>
      </c>
      <c r="F135" s="30" t="str">
        <f>IFERROR(IF(INDEX(Observaciones!F$3:F$147,MATCH(ROWS($A$3:A135),Observaciones!$N$3:$N$147,0))="","",INDEX(Observaciones!F$3:F$147,MATCH(ROWS($A$3:A135),Observaciones!$N$3:$N$147,0))),"")</f>
        <v/>
      </c>
      <c r="G135" s="32" t="str">
        <f>IFERROR(IF(INDEX(Observaciones!I$3:I$147,MATCH(ROWS($A$3:A135),Observaciones!$N$3:$N$147,0))="","",INDEX(Observaciones!I$3:I$147,MATCH(ROWS($A$3:A135),Observaciones!$N$3:$N$147,0))),"")</f>
        <v/>
      </c>
      <c r="H135" s="33" t="str">
        <f>IFERROR(IF(INDEX(Observaciones!J$3:J$147,MATCH(ROWS($A$3:A135),Observaciones!$N$3:$N$147,0))="","",INDEX(Observaciones!J$3:J$147,MATCH(ROWS($A$3:A135),Observaciones!$N$3:$N$147,0))),"")</f>
        <v/>
      </c>
    </row>
    <row r="136" spans="1:8" s="10" customFormat="1" ht="28.95" customHeight="1" x14ac:dyDescent="0.3">
      <c r="A136" s="30" t="str">
        <f>IFERROR(IF(INDEX(Observaciones!A$3:A$147,MATCH(ROWS($A$3:A136),Observaciones!$N$3:$N$147,0))="","",INDEX(Observaciones!A$3:A$147,MATCH(ROWS($A$3:A136),Observaciones!$N$3:$N$147,0))),"")</f>
        <v/>
      </c>
      <c r="B136" s="31" t="str">
        <f>IFERROR(IF(INDEX(Observaciones!C$3:C$147,MATCH(ROWS($A$3:A136),Observaciones!$N$3:$N$147,0))="","",INDEX(Observaciones!C$3:C$147,MATCH(ROWS($A$3:A136),Observaciones!$N$3:$N$147,0))),"")</f>
        <v/>
      </c>
      <c r="C136" s="32" t="str">
        <f>IFERROR(IF(INDEX(Observaciones!B$3:B$147,MATCH(ROWS($A$3:A136),Observaciones!$N$3:$N$147,0))="","",INDEX(Observaciones!B$3:B$147,MATCH(ROWS($A$3:A136),Observaciones!$N$3:$N$147,0))),"")</f>
        <v/>
      </c>
      <c r="D136" s="30" t="str">
        <f>IFERROR(IF(INDEX(Observaciones!D$3:D$147,MATCH(ROWS($A$3:A136),Observaciones!$N$3:$N$147,0))="","",INDEX(Observaciones!D$3:D$147,MATCH(ROWS($A$3:A136),Observaciones!$N$3:$N$147,0))),"")</f>
        <v/>
      </c>
      <c r="E136" s="33" t="str">
        <f>IFERROR(IF(INDEX(Observaciones!E$3:E$147,MATCH(ROWS($A$3:A136),Observaciones!$N$3:$N$147,0))="","",INDEX(Observaciones!E$3:E$147,MATCH(ROWS($A$3:A136),Observaciones!$N$3:$N$147,0))),"")</f>
        <v/>
      </c>
      <c r="F136" s="30" t="str">
        <f>IFERROR(IF(INDEX(Observaciones!F$3:F$147,MATCH(ROWS($A$3:A136),Observaciones!$N$3:$N$147,0))="","",INDEX(Observaciones!F$3:F$147,MATCH(ROWS($A$3:A136),Observaciones!$N$3:$N$147,0))),"")</f>
        <v/>
      </c>
      <c r="G136" s="32" t="str">
        <f>IFERROR(IF(INDEX(Observaciones!I$3:I$147,MATCH(ROWS($A$3:A136),Observaciones!$N$3:$N$147,0))="","",INDEX(Observaciones!I$3:I$147,MATCH(ROWS($A$3:A136),Observaciones!$N$3:$N$147,0))),"")</f>
        <v/>
      </c>
      <c r="H136" s="33" t="str">
        <f>IFERROR(IF(INDEX(Observaciones!J$3:J$147,MATCH(ROWS($A$3:A136),Observaciones!$N$3:$N$147,0))="","",INDEX(Observaciones!J$3:J$147,MATCH(ROWS($A$3:A136),Observaciones!$N$3:$N$147,0))),"")</f>
        <v/>
      </c>
    </row>
    <row r="137" spans="1:8" s="10" customFormat="1" ht="28.95" customHeight="1" x14ac:dyDescent="0.3">
      <c r="A137" s="30" t="str">
        <f>IFERROR(IF(INDEX(Observaciones!A$3:A$147,MATCH(ROWS($A$3:A137),Observaciones!$N$3:$N$147,0))="","",INDEX(Observaciones!A$3:A$147,MATCH(ROWS($A$3:A137),Observaciones!$N$3:$N$147,0))),"")</f>
        <v/>
      </c>
      <c r="B137" s="31" t="str">
        <f>IFERROR(IF(INDEX(Observaciones!C$3:C$147,MATCH(ROWS($A$3:A137),Observaciones!$N$3:$N$147,0))="","",INDEX(Observaciones!C$3:C$147,MATCH(ROWS($A$3:A137),Observaciones!$N$3:$N$147,0))),"")</f>
        <v/>
      </c>
      <c r="C137" s="32" t="str">
        <f>IFERROR(IF(INDEX(Observaciones!B$3:B$147,MATCH(ROWS($A$3:A137),Observaciones!$N$3:$N$147,0))="","",INDEX(Observaciones!B$3:B$147,MATCH(ROWS($A$3:A137),Observaciones!$N$3:$N$147,0))),"")</f>
        <v/>
      </c>
      <c r="D137" s="30" t="str">
        <f>IFERROR(IF(INDEX(Observaciones!D$3:D$147,MATCH(ROWS($A$3:A137),Observaciones!$N$3:$N$147,0))="","",INDEX(Observaciones!D$3:D$147,MATCH(ROWS($A$3:A137),Observaciones!$N$3:$N$147,0))),"")</f>
        <v/>
      </c>
      <c r="E137" s="33" t="str">
        <f>IFERROR(IF(INDEX(Observaciones!E$3:E$147,MATCH(ROWS($A$3:A137),Observaciones!$N$3:$N$147,0))="","",INDEX(Observaciones!E$3:E$147,MATCH(ROWS($A$3:A137),Observaciones!$N$3:$N$147,0))),"")</f>
        <v/>
      </c>
      <c r="F137" s="30" t="str">
        <f>IFERROR(IF(INDEX(Observaciones!F$3:F$147,MATCH(ROWS($A$3:A137),Observaciones!$N$3:$N$147,0))="","",INDEX(Observaciones!F$3:F$147,MATCH(ROWS($A$3:A137),Observaciones!$N$3:$N$147,0))),"")</f>
        <v/>
      </c>
      <c r="G137" s="32" t="str">
        <f>IFERROR(IF(INDEX(Observaciones!I$3:I$147,MATCH(ROWS($A$3:A137),Observaciones!$N$3:$N$147,0))="","",INDEX(Observaciones!I$3:I$147,MATCH(ROWS($A$3:A137),Observaciones!$N$3:$N$147,0))),"")</f>
        <v/>
      </c>
      <c r="H137" s="33" t="str">
        <f>IFERROR(IF(INDEX(Observaciones!J$3:J$147,MATCH(ROWS($A$3:A137),Observaciones!$N$3:$N$147,0))="","",INDEX(Observaciones!J$3:J$147,MATCH(ROWS($A$3:A137),Observaciones!$N$3:$N$147,0))),"")</f>
        <v/>
      </c>
    </row>
    <row r="138" spans="1:8" s="10" customFormat="1" ht="28.95" customHeight="1" x14ac:dyDescent="0.3">
      <c r="A138" s="30" t="str">
        <f>IFERROR(IF(INDEX(Observaciones!A$3:A$147,MATCH(ROWS($A$3:A138),Observaciones!$N$3:$N$147,0))="","",INDEX(Observaciones!A$3:A$147,MATCH(ROWS($A$3:A138),Observaciones!$N$3:$N$147,0))),"")</f>
        <v/>
      </c>
      <c r="B138" s="31" t="str">
        <f>IFERROR(IF(INDEX(Observaciones!C$3:C$147,MATCH(ROWS($A$3:A138),Observaciones!$N$3:$N$147,0))="","",INDEX(Observaciones!C$3:C$147,MATCH(ROWS($A$3:A138),Observaciones!$N$3:$N$147,0))),"")</f>
        <v/>
      </c>
      <c r="C138" s="32" t="str">
        <f>IFERROR(IF(INDEX(Observaciones!B$3:B$147,MATCH(ROWS($A$3:A138),Observaciones!$N$3:$N$147,0))="","",INDEX(Observaciones!B$3:B$147,MATCH(ROWS($A$3:A138),Observaciones!$N$3:$N$147,0))),"")</f>
        <v/>
      </c>
      <c r="D138" s="30" t="str">
        <f>IFERROR(IF(INDEX(Observaciones!D$3:D$147,MATCH(ROWS($A$3:A138),Observaciones!$N$3:$N$147,0))="","",INDEX(Observaciones!D$3:D$147,MATCH(ROWS($A$3:A138),Observaciones!$N$3:$N$147,0))),"")</f>
        <v/>
      </c>
      <c r="E138" s="33" t="str">
        <f>IFERROR(IF(INDEX(Observaciones!E$3:E$147,MATCH(ROWS($A$3:A138),Observaciones!$N$3:$N$147,0))="","",INDEX(Observaciones!E$3:E$147,MATCH(ROWS($A$3:A138),Observaciones!$N$3:$N$147,0))),"")</f>
        <v/>
      </c>
      <c r="F138" s="30" t="str">
        <f>IFERROR(IF(INDEX(Observaciones!F$3:F$147,MATCH(ROWS($A$3:A138),Observaciones!$N$3:$N$147,0))="","",INDEX(Observaciones!F$3:F$147,MATCH(ROWS($A$3:A138),Observaciones!$N$3:$N$147,0))),"")</f>
        <v/>
      </c>
      <c r="G138" s="32" t="str">
        <f>IFERROR(IF(INDEX(Observaciones!I$3:I$147,MATCH(ROWS($A$3:A138),Observaciones!$N$3:$N$147,0))="","",INDEX(Observaciones!I$3:I$147,MATCH(ROWS($A$3:A138),Observaciones!$N$3:$N$147,0))),"")</f>
        <v/>
      </c>
      <c r="H138" s="33" t="str">
        <f>IFERROR(IF(INDEX(Observaciones!J$3:J$147,MATCH(ROWS($A$3:A138),Observaciones!$N$3:$N$147,0))="","",INDEX(Observaciones!J$3:J$147,MATCH(ROWS($A$3:A138),Observaciones!$N$3:$N$147,0))),"")</f>
        <v/>
      </c>
    </row>
    <row r="139" spans="1:8" s="10" customFormat="1" ht="28.95" customHeight="1" x14ac:dyDescent="0.3">
      <c r="A139" s="30" t="str">
        <f>IFERROR(IF(INDEX(Observaciones!A$3:A$147,MATCH(ROWS($A$3:A139),Observaciones!$N$3:$N$147,0))="","",INDEX(Observaciones!A$3:A$147,MATCH(ROWS($A$3:A139),Observaciones!$N$3:$N$147,0))),"")</f>
        <v/>
      </c>
      <c r="B139" s="31" t="str">
        <f>IFERROR(IF(INDEX(Observaciones!C$3:C$147,MATCH(ROWS($A$3:A139),Observaciones!$N$3:$N$147,0))="","",INDEX(Observaciones!C$3:C$147,MATCH(ROWS($A$3:A139),Observaciones!$N$3:$N$147,0))),"")</f>
        <v/>
      </c>
      <c r="C139" s="32" t="str">
        <f>IFERROR(IF(INDEX(Observaciones!B$3:B$147,MATCH(ROWS($A$3:A139),Observaciones!$N$3:$N$147,0))="","",INDEX(Observaciones!B$3:B$147,MATCH(ROWS($A$3:A139),Observaciones!$N$3:$N$147,0))),"")</f>
        <v/>
      </c>
      <c r="D139" s="30" t="str">
        <f>IFERROR(IF(INDEX(Observaciones!D$3:D$147,MATCH(ROWS($A$3:A139),Observaciones!$N$3:$N$147,0))="","",INDEX(Observaciones!D$3:D$147,MATCH(ROWS($A$3:A139),Observaciones!$N$3:$N$147,0))),"")</f>
        <v/>
      </c>
      <c r="E139" s="33" t="str">
        <f>IFERROR(IF(INDEX(Observaciones!E$3:E$147,MATCH(ROWS($A$3:A139),Observaciones!$N$3:$N$147,0))="","",INDEX(Observaciones!E$3:E$147,MATCH(ROWS($A$3:A139),Observaciones!$N$3:$N$147,0))),"")</f>
        <v/>
      </c>
      <c r="F139" s="30" t="str">
        <f>IFERROR(IF(INDEX(Observaciones!F$3:F$147,MATCH(ROWS($A$3:A139),Observaciones!$N$3:$N$147,0))="","",INDEX(Observaciones!F$3:F$147,MATCH(ROWS($A$3:A139),Observaciones!$N$3:$N$147,0))),"")</f>
        <v/>
      </c>
      <c r="G139" s="32" t="str">
        <f>IFERROR(IF(INDEX(Observaciones!I$3:I$147,MATCH(ROWS($A$3:A139),Observaciones!$N$3:$N$147,0))="","",INDEX(Observaciones!I$3:I$147,MATCH(ROWS($A$3:A139),Observaciones!$N$3:$N$147,0))),"")</f>
        <v/>
      </c>
      <c r="H139" s="33" t="str">
        <f>IFERROR(IF(INDEX(Observaciones!J$3:J$147,MATCH(ROWS($A$3:A139),Observaciones!$N$3:$N$147,0))="","",INDEX(Observaciones!J$3:J$147,MATCH(ROWS($A$3:A139),Observaciones!$N$3:$N$147,0))),"")</f>
        <v/>
      </c>
    </row>
    <row r="140" spans="1:8" s="10" customFormat="1" ht="28.95" customHeight="1" x14ac:dyDescent="0.3">
      <c r="A140" s="30" t="str">
        <f>IFERROR(IF(INDEX(Observaciones!A$3:A$147,MATCH(ROWS($A$3:A140),Observaciones!$N$3:$N$147,0))="","",INDEX(Observaciones!A$3:A$147,MATCH(ROWS($A$3:A140),Observaciones!$N$3:$N$147,0))),"")</f>
        <v/>
      </c>
      <c r="B140" s="31" t="str">
        <f>IFERROR(IF(INDEX(Observaciones!C$3:C$147,MATCH(ROWS($A$3:A140),Observaciones!$N$3:$N$147,0))="","",INDEX(Observaciones!C$3:C$147,MATCH(ROWS($A$3:A140),Observaciones!$N$3:$N$147,0))),"")</f>
        <v/>
      </c>
      <c r="C140" s="32" t="str">
        <f>IFERROR(IF(INDEX(Observaciones!B$3:B$147,MATCH(ROWS($A$3:A140),Observaciones!$N$3:$N$147,0))="","",INDEX(Observaciones!B$3:B$147,MATCH(ROWS($A$3:A140),Observaciones!$N$3:$N$147,0))),"")</f>
        <v/>
      </c>
      <c r="D140" s="30" t="str">
        <f>IFERROR(IF(INDEX(Observaciones!D$3:D$147,MATCH(ROWS($A$3:A140),Observaciones!$N$3:$N$147,0))="","",INDEX(Observaciones!D$3:D$147,MATCH(ROWS($A$3:A140),Observaciones!$N$3:$N$147,0))),"")</f>
        <v/>
      </c>
      <c r="E140" s="33" t="str">
        <f>IFERROR(IF(INDEX(Observaciones!E$3:E$147,MATCH(ROWS($A$3:A140),Observaciones!$N$3:$N$147,0))="","",INDEX(Observaciones!E$3:E$147,MATCH(ROWS($A$3:A140),Observaciones!$N$3:$N$147,0))),"")</f>
        <v/>
      </c>
      <c r="F140" s="30" t="str">
        <f>IFERROR(IF(INDEX(Observaciones!F$3:F$147,MATCH(ROWS($A$3:A140),Observaciones!$N$3:$N$147,0))="","",INDEX(Observaciones!F$3:F$147,MATCH(ROWS($A$3:A140),Observaciones!$N$3:$N$147,0))),"")</f>
        <v/>
      </c>
      <c r="G140" s="32" t="str">
        <f>IFERROR(IF(INDEX(Observaciones!I$3:I$147,MATCH(ROWS($A$3:A140),Observaciones!$N$3:$N$147,0))="","",INDEX(Observaciones!I$3:I$147,MATCH(ROWS($A$3:A140),Observaciones!$N$3:$N$147,0))),"")</f>
        <v/>
      </c>
      <c r="H140" s="33" t="str">
        <f>IFERROR(IF(INDEX(Observaciones!J$3:J$147,MATCH(ROWS($A$3:A140),Observaciones!$N$3:$N$147,0))="","",INDEX(Observaciones!J$3:J$147,MATCH(ROWS($A$3:A140),Observaciones!$N$3:$N$147,0))),"")</f>
        <v/>
      </c>
    </row>
    <row r="141" spans="1:8" s="10" customFormat="1" ht="28.95" customHeight="1" x14ac:dyDescent="0.3">
      <c r="A141" s="30" t="str">
        <f>IFERROR(IF(INDEX(Observaciones!A$3:A$147,MATCH(ROWS($A$3:A141),Observaciones!$N$3:$N$147,0))="","",INDEX(Observaciones!A$3:A$147,MATCH(ROWS($A$3:A141),Observaciones!$N$3:$N$147,0))),"")</f>
        <v/>
      </c>
      <c r="B141" s="31" t="str">
        <f>IFERROR(IF(INDEX(Observaciones!C$3:C$147,MATCH(ROWS($A$3:A141),Observaciones!$N$3:$N$147,0))="","",INDEX(Observaciones!C$3:C$147,MATCH(ROWS($A$3:A141),Observaciones!$N$3:$N$147,0))),"")</f>
        <v/>
      </c>
      <c r="C141" s="32" t="str">
        <f>IFERROR(IF(INDEX(Observaciones!B$3:B$147,MATCH(ROWS($A$3:A141),Observaciones!$N$3:$N$147,0))="","",INDEX(Observaciones!B$3:B$147,MATCH(ROWS($A$3:A141),Observaciones!$N$3:$N$147,0))),"")</f>
        <v/>
      </c>
      <c r="D141" s="30" t="str">
        <f>IFERROR(IF(INDEX(Observaciones!D$3:D$147,MATCH(ROWS($A$3:A141),Observaciones!$N$3:$N$147,0))="","",INDEX(Observaciones!D$3:D$147,MATCH(ROWS($A$3:A141),Observaciones!$N$3:$N$147,0))),"")</f>
        <v/>
      </c>
      <c r="E141" s="33" t="str">
        <f>IFERROR(IF(INDEX(Observaciones!E$3:E$147,MATCH(ROWS($A$3:A141),Observaciones!$N$3:$N$147,0))="","",INDEX(Observaciones!E$3:E$147,MATCH(ROWS($A$3:A141),Observaciones!$N$3:$N$147,0))),"")</f>
        <v/>
      </c>
      <c r="F141" s="30" t="str">
        <f>IFERROR(IF(INDEX(Observaciones!F$3:F$147,MATCH(ROWS($A$3:A141),Observaciones!$N$3:$N$147,0))="","",INDEX(Observaciones!F$3:F$147,MATCH(ROWS($A$3:A141),Observaciones!$N$3:$N$147,0))),"")</f>
        <v/>
      </c>
      <c r="G141" s="32" t="str">
        <f>IFERROR(IF(INDEX(Observaciones!I$3:I$147,MATCH(ROWS($A$3:A141),Observaciones!$N$3:$N$147,0))="","",INDEX(Observaciones!I$3:I$147,MATCH(ROWS($A$3:A141),Observaciones!$N$3:$N$147,0))),"")</f>
        <v/>
      </c>
      <c r="H141" s="33" t="str">
        <f>IFERROR(IF(INDEX(Observaciones!J$3:J$147,MATCH(ROWS($A$3:A141),Observaciones!$N$3:$N$147,0))="","",INDEX(Observaciones!J$3:J$147,MATCH(ROWS($A$3:A141),Observaciones!$N$3:$N$147,0))),"")</f>
        <v/>
      </c>
    </row>
    <row r="142" spans="1:8" s="10" customFormat="1" ht="28.95" customHeight="1" x14ac:dyDescent="0.3">
      <c r="A142" s="30" t="str">
        <f>IFERROR(IF(INDEX(Observaciones!A$3:A$147,MATCH(ROWS($A$3:A142),Observaciones!$N$3:$N$147,0))="","",INDEX(Observaciones!A$3:A$147,MATCH(ROWS($A$3:A142),Observaciones!$N$3:$N$147,0))),"")</f>
        <v/>
      </c>
      <c r="B142" s="31" t="str">
        <f>IFERROR(IF(INDEX(Observaciones!C$3:C$147,MATCH(ROWS($A$3:A142),Observaciones!$N$3:$N$147,0))="","",INDEX(Observaciones!C$3:C$147,MATCH(ROWS($A$3:A142),Observaciones!$N$3:$N$147,0))),"")</f>
        <v/>
      </c>
      <c r="C142" s="32" t="str">
        <f>IFERROR(IF(INDEX(Observaciones!B$3:B$147,MATCH(ROWS($A$3:A142),Observaciones!$N$3:$N$147,0))="","",INDEX(Observaciones!B$3:B$147,MATCH(ROWS($A$3:A142),Observaciones!$N$3:$N$147,0))),"")</f>
        <v/>
      </c>
      <c r="D142" s="30" t="str">
        <f>IFERROR(IF(INDEX(Observaciones!D$3:D$147,MATCH(ROWS($A$3:A142),Observaciones!$N$3:$N$147,0))="","",INDEX(Observaciones!D$3:D$147,MATCH(ROWS($A$3:A142),Observaciones!$N$3:$N$147,0))),"")</f>
        <v/>
      </c>
      <c r="E142" s="33" t="str">
        <f>IFERROR(IF(INDEX(Observaciones!E$3:E$147,MATCH(ROWS($A$3:A142),Observaciones!$N$3:$N$147,0))="","",INDEX(Observaciones!E$3:E$147,MATCH(ROWS($A$3:A142),Observaciones!$N$3:$N$147,0))),"")</f>
        <v/>
      </c>
      <c r="F142" s="30" t="str">
        <f>IFERROR(IF(INDEX(Observaciones!F$3:F$147,MATCH(ROWS($A$3:A142),Observaciones!$N$3:$N$147,0))="","",INDEX(Observaciones!F$3:F$147,MATCH(ROWS($A$3:A142),Observaciones!$N$3:$N$147,0))),"")</f>
        <v/>
      </c>
      <c r="G142" s="32" t="str">
        <f>IFERROR(IF(INDEX(Observaciones!I$3:I$147,MATCH(ROWS($A$3:A142),Observaciones!$N$3:$N$147,0))="","",INDEX(Observaciones!I$3:I$147,MATCH(ROWS($A$3:A142),Observaciones!$N$3:$N$147,0))),"")</f>
        <v/>
      </c>
      <c r="H142" s="33" t="str">
        <f>IFERROR(IF(INDEX(Observaciones!J$3:J$147,MATCH(ROWS($A$3:A142),Observaciones!$N$3:$N$147,0))="","",INDEX(Observaciones!J$3:J$147,MATCH(ROWS($A$3:A142),Observaciones!$N$3:$N$147,0))),"")</f>
        <v/>
      </c>
    </row>
    <row r="143" spans="1:8" s="10" customFormat="1" ht="28.95" customHeight="1" x14ac:dyDescent="0.3">
      <c r="A143" s="30" t="str">
        <f>IFERROR(IF(INDEX(Observaciones!A$3:A$147,MATCH(ROWS($A$3:A143),Observaciones!$N$3:$N$147,0))="","",INDEX(Observaciones!A$3:A$147,MATCH(ROWS($A$3:A143),Observaciones!$N$3:$N$147,0))),"")</f>
        <v/>
      </c>
      <c r="B143" s="31" t="str">
        <f>IFERROR(IF(INDEX(Observaciones!C$3:C$147,MATCH(ROWS($A$3:A143),Observaciones!$N$3:$N$147,0))="","",INDEX(Observaciones!C$3:C$147,MATCH(ROWS($A$3:A143),Observaciones!$N$3:$N$147,0))),"")</f>
        <v/>
      </c>
      <c r="C143" s="32" t="str">
        <f>IFERROR(IF(INDEX(Observaciones!B$3:B$147,MATCH(ROWS($A$3:A143),Observaciones!$N$3:$N$147,0))="","",INDEX(Observaciones!B$3:B$147,MATCH(ROWS($A$3:A143),Observaciones!$N$3:$N$147,0))),"")</f>
        <v/>
      </c>
      <c r="D143" s="30" t="str">
        <f>IFERROR(IF(INDEX(Observaciones!D$3:D$147,MATCH(ROWS($A$3:A143),Observaciones!$N$3:$N$147,0))="","",INDEX(Observaciones!D$3:D$147,MATCH(ROWS($A$3:A143),Observaciones!$N$3:$N$147,0))),"")</f>
        <v/>
      </c>
      <c r="E143" s="33" t="str">
        <f>IFERROR(IF(INDEX(Observaciones!E$3:E$147,MATCH(ROWS($A$3:A143),Observaciones!$N$3:$N$147,0))="","",INDEX(Observaciones!E$3:E$147,MATCH(ROWS($A$3:A143),Observaciones!$N$3:$N$147,0))),"")</f>
        <v/>
      </c>
      <c r="F143" s="30" t="str">
        <f>IFERROR(IF(INDEX(Observaciones!F$3:F$147,MATCH(ROWS($A$3:A143),Observaciones!$N$3:$N$147,0))="","",INDEX(Observaciones!F$3:F$147,MATCH(ROWS($A$3:A143),Observaciones!$N$3:$N$147,0))),"")</f>
        <v/>
      </c>
      <c r="G143" s="32" t="str">
        <f>IFERROR(IF(INDEX(Observaciones!I$3:I$147,MATCH(ROWS($A$3:A143),Observaciones!$N$3:$N$147,0))="","",INDEX(Observaciones!I$3:I$147,MATCH(ROWS($A$3:A143),Observaciones!$N$3:$N$147,0))),"")</f>
        <v/>
      </c>
      <c r="H143" s="33" t="str">
        <f>IFERROR(IF(INDEX(Observaciones!J$3:J$147,MATCH(ROWS($A$3:A143),Observaciones!$N$3:$N$147,0))="","",INDEX(Observaciones!J$3:J$147,MATCH(ROWS($A$3:A143),Observaciones!$N$3:$N$147,0))),"")</f>
        <v/>
      </c>
    </row>
    <row r="144" spans="1:8" s="10" customFormat="1" ht="28.95" customHeight="1" x14ac:dyDescent="0.3">
      <c r="A144" s="30" t="str">
        <f>IFERROR(IF(INDEX(Observaciones!A$3:A$147,MATCH(ROWS($A$3:A144),Observaciones!$N$3:$N$147,0))="","",INDEX(Observaciones!A$3:A$147,MATCH(ROWS($A$3:A144),Observaciones!$N$3:$N$147,0))),"")</f>
        <v/>
      </c>
      <c r="B144" s="31" t="str">
        <f>IFERROR(IF(INDEX(Observaciones!C$3:C$147,MATCH(ROWS($A$3:A144),Observaciones!$N$3:$N$147,0))="","",INDEX(Observaciones!C$3:C$147,MATCH(ROWS($A$3:A144),Observaciones!$N$3:$N$147,0))),"")</f>
        <v/>
      </c>
      <c r="C144" s="32" t="str">
        <f>IFERROR(IF(INDEX(Observaciones!B$3:B$147,MATCH(ROWS($A$3:A144),Observaciones!$N$3:$N$147,0))="","",INDEX(Observaciones!B$3:B$147,MATCH(ROWS($A$3:A144),Observaciones!$N$3:$N$147,0))),"")</f>
        <v/>
      </c>
      <c r="D144" s="30" t="str">
        <f>IFERROR(IF(INDEX(Observaciones!D$3:D$147,MATCH(ROWS($A$3:A144),Observaciones!$N$3:$N$147,0))="","",INDEX(Observaciones!D$3:D$147,MATCH(ROWS($A$3:A144),Observaciones!$N$3:$N$147,0))),"")</f>
        <v/>
      </c>
      <c r="E144" s="33" t="str">
        <f>IFERROR(IF(INDEX(Observaciones!E$3:E$147,MATCH(ROWS($A$3:A144),Observaciones!$N$3:$N$147,0))="","",INDEX(Observaciones!E$3:E$147,MATCH(ROWS($A$3:A144),Observaciones!$N$3:$N$147,0))),"")</f>
        <v/>
      </c>
      <c r="F144" s="30" t="str">
        <f>IFERROR(IF(INDEX(Observaciones!F$3:F$147,MATCH(ROWS($A$3:A144),Observaciones!$N$3:$N$147,0))="","",INDEX(Observaciones!F$3:F$147,MATCH(ROWS($A$3:A144),Observaciones!$N$3:$N$147,0))),"")</f>
        <v/>
      </c>
      <c r="G144" s="32" t="str">
        <f>IFERROR(IF(INDEX(Observaciones!I$3:I$147,MATCH(ROWS($A$3:A144),Observaciones!$N$3:$N$147,0))="","",INDEX(Observaciones!I$3:I$147,MATCH(ROWS($A$3:A144),Observaciones!$N$3:$N$147,0))),"")</f>
        <v/>
      </c>
      <c r="H144" s="33" t="str">
        <f>IFERROR(IF(INDEX(Observaciones!J$3:J$147,MATCH(ROWS($A$3:A144),Observaciones!$N$3:$N$147,0))="","",INDEX(Observaciones!J$3:J$147,MATCH(ROWS($A$3:A144),Observaciones!$N$3:$N$147,0))),"")</f>
        <v/>
      </c>
    </row>
    <row r="145" spans="1:8" s="10" customFormat="1" ht="28.95" customHeight="1" x14ac:dyDescent="0.3">
      <c r="A145" s="30" t="str">
        <f>IFERROR(IF(INDEX(Observaciones!A$3:A$147,MATCH(ROWS($A$3:A145),Observaciones!$N$3:$N$147,0))="","",INDEX(Observaciones!A$3:A$147,MATCH(ROWS($A$3:A145),Observaciones!$N$3:$N$147,0))),"")</f>
        <v/>
      </c>
      <c r="B145" s="31" t="str">
        <f>IFERROR(IF(INDEX(Observaciones!C$3:C$147,MATCH(ROWS($A$3:A145),Observaciones!$N$3:$N$147,0))="","",INDEX(Observaciones!C$3:C$147,MATCH(ROWS($A$3:A145),Observaciones!$N$3:$N$147,0))),"")</f>
        <v/>
      </c>
      <c r="C145" s="32" t="str">
        <f>IFERROR(IF(INDEX(Observaciones!B$3:B$147,MATCH(ROWS($A$3:A145),Observaciones!$N$3:$N$147,0))="","",INDEX(Observaciones!B$3:B$147,MATCH(ROWS($A$3:A145),Observaciones!$N$3:$N$147,0))),"")</f>
        <v/>
      </c>
      <c r="D145" s="30" t="str">
        <f>IFERROR(IF(INDEX(Observaciones!D$3:D$147,MATCH(ROWS($A$3:A145),Observaciones!$N$3:$N$147,0))="","",INDEX(Observaciones!D$3:D$147,MATCH(ROWS($A$3:A145),Observaciones!$N$3:$N$147,0))),"")</f>
        <v/>
      </c>
      <c r="E145" s="33" t="str">
        <f>IFERROR(IF(INDEX(Observaciones!E$3:E$147,MATCH(ROWS($A$3:A145),Observaciones!$N$3:$N$147,0))="","",INDEX(Observaciones!E$3:E$147,MATCH(ROWS($A$3:A145),Observaciones!$N$3:$N$147,0))),"")</f>
        <v/>
      </c>
      <c r="F145" s="30" t="str">
        <f>IFERROR(IF(INDEX(Observaciones!F$3:F$147,MATCH(ROWS($A$3:A145),Observaciones!$N$3:$N$147,0))="","",INDEX(Observaciones!F$3:F$147,MATCH(ROWS($A$3:A145),Observaciones!$N$3:$N$147,0))),"")</f>
        <v/>
      </c>
      <c r="G145" s="32" t="str">
        <f>IFERROR(IF(INDEX(Observaciones!I$3:I$147,MATCH(ROWS($A$3:A145),Observaciones!$N$3:$N$147,0))="","",INDEX(Observaciones!I$3:I$147,MATCH(ROWS($A$3:A145),Observaciones!$N$3:$N$147,0))),"")</f>
        <v/>
      </c>
      <c r="H145" s="33" t="str">
        <f>IFERROR(IF(INDEX(Observaciones!J$3:J$147,MATCH(ROWS($A$3:A145),Observaciones!$N$3:$N$147,0))="","",INDEX(Observaciones!J$3:J$147,MATCH(ROWS($A$3:A145),Observaciones!$N$3:$N$147,0))),"")</f>
        <v/>
      </c>
    </row>
    <row r="146" spans="1:8" s="10" customFormat="1" ht="28.95" customHeight="1" x14ac:dyDescent="0.3">
      <c r="A146" s="30" t="str">
        <f>IFERROR(IF(INDEX(Observaciones!A$3:A$147,MATCH(ROWS($A$3:A146),Observaciones!$N$3:$N$147,0))="","",INDEX(Observaciones!A$3:A$147,MATCH(ROWS($A$3:A146),Observaciones!$N$3:$N$147,0))),"")</f>
        <v/>
      </c>
      <c r="B146" s="31" t="str">
        <f>IFERROR(IF(INDEX(Observaciones!C$3:C$147,MATCH(ROWS($A$3:A146),Observaciones!$N$3:$N$147,0))="","",INDEX(Observaciones!C$3:C$147,MATCH(ROWS($A$3:A146),Observaciones!$N$3:$N$147,0))),"")</f>
        <v/>
      </c>
      <c r="C146" s="32" t="str">
        <f>IFERROR(IF(INDEX(Observaciones!B$3:B$147,MATCH(ROWS($A$3:A146),Observaciones!$N$3:$N$147,0))="","",INDEX(Observaciones!B$3:B$147,MATCH(ROWS($A$3:A146),Observaciones!$N$3:$N$147,0))),"")</f>
        <v/>
      </c>
      <c r="D146" s="30" t="str">
        <f>IFERROR(IF(INDEX(Observaciones!D$3:D$147,MATCH(ROWS($A$3:A146),Observaciones!$N$3:$N$147,0))="","",INDEX(Observaciones!D$3:D$147,MATCH(ROWS($A$3:A146),Observaciones!$N$3:$N$147,0))),"")</f>
        <v/>
      </c>
      <c r="E146" s="33" t="str">
        <f>IFERROR(IF(INDEX(Observaciones!E$3:E$147,MATCH(ROWS($A$3:A146),Observaciones!$N$3:$N$147,0))="","",INDEX(Observaciones!E$3:E$147,MATCH(ROWS($A$3:A146),Observaciones!$N$3:$N$147,0))),"")</f>
        <v/>
      </c>
      <c r="F146" s="30" t="str">
        <f>IFERROR(IF(INDEX(Observaciones!F$3:F$147,MATCH(ROWS($A$3:A146),Observaciones!$N$3:$N$147,0))="","",INDEX(Observaciones!F$3:F$147,MATCH(ROWS($A$3:A146),Observaciones!$N$3:$N$147,0))),"")</f>
        <v/>
      </c>
      <c r="G146" s="32" t="str">
        <f>IFERROR(IF(INDEX(Observaciones!I$3:I$147,MATCH(ROWS($A$3:A146),Observaciones!$N$3:$N$147,0))="","",INDEX(Observaciones!I$3:I$147,MATCH(ROWS($A$3:A146),Observaciones!$N$3:$N$147,0))),"")</f>
        <v/>
      </c>
      <c r="H146" s="33" t="str">
        <f>IFERROR(IF(INDEX(Observaciones!J$3:J$147,MATCH(ROWS($A$3:A146),Observaciones!$N$3:$N$147,0))="","",INDEX(Observaciones!J$3:J$147,MATCH(ROWS($A$3:A146),Observaciones!$N$3:$N$147,0))),"")</f>
        <v/>
      </c>
    </row>
    <row r="147" spans="1:8" s="10" customFormat="1" ht="28.95" customHeight="1" x14ac:dyDescent="0.3">
      <c r="A147" s="30" t="str">
        <f>IFERROR(IF(INDEX(Observaciones!A$3:A$147,MATCH(ROWS($A$3:A147),Observaciones!$N$3:$N$147,0))="","",INDEX(Observaciones!A$3:A$147,MATCH(ROWS($A$3:A147),Observaciones!$N$3:$N$147,0))),"")</f>
        <v/>
      </c>
      <c r="B147" s="31" t="str">
        <f>IFERROR(IF(INDEX(Observaciones!C$3:C$147,MATCH(ROWS($A$3:A147),Observaciones!$N$3:$N$147,0))="","",INDEX(Observaciones!C$3:C$147,MATCH(ROWS($A$3:A147),Observaciones!$N$3:$N$147,0))),"")</f>
        <v/>
      </c>
      <c r="C147" s="32" t="str">
        <f>IFERROR(IF(INDEX(Observaciones!B$3:B$147,MATCH(ROWS($A$3:A147),Observaciones!$N$3:$N$147,0))="","",INDEX(Observaciones!B$3:B$147,MATCH(ROWS($A$3:A147),Observaciones!$N$3:$N$147,0))),"")</f>
        <v/>
      </c>
      <c r="D147" s="30" t="str">
        <f>IFERROR(IF(INDEX(Observaciones!D$3:D$147,MATCH(ROWS($A$3:A147),Observaciones!$N$3:$N$147,0))="","",INDEX(Observaciones!D$3:D$147,MATCH(ROWS($A$3:A147),Observaciones!$N$3:$N$147,0))),"")</f>
        <v/>
      </c>
      <c r="E147" s="33" t="str">
        <f>IFERROR(IF(INDEX(Observaciones!E$3:E$147,MATCH(ROWS($A$3:A147),Observaciones!$N$3:$N$147,0))="","",INDEX(Observaciones!E$3:E$147,MATCH(ROWS($A$3:A147),Observaciones!$N$3:$N$147,0))),"")</f>
        <v/>
      </c>
      <c r="F147" s="30" t="str">
        <f>IFERROR(IF(INDEX(Observaciones!F$3:F$147,MATCH(ROWS($A$3:A147),Observaciones!$N$3:$N$147,0))="","",INDEX(Observaciones!F$3:F$147,MATCH(ROWS($A$3:A147),Observaciones!$N$3:$N$147,0))),"")</f>
        <v/>
      </c>
      <c r="G147" s="32" t="str">
        <f>IFERROR(IF(INDEX(Observaciones!I$3:I$147,MATCH(ROWS($A$3:A147),Observaciones!$N$3:$N$147,0))="","",INDEX(Observaciones!I$3:I$147,MATCH(ROWS($A$3:A147),Observaciones!$N$3:$N$147,0))),"")</f>
        <v/>
      </c>
      <c r="H147" s="33" t="str">
        <f>IFERROR(IF(INDEX(Observaciones!J$3:J$147,MATCH(ROWS($A$3:A147),Observaciones!$N$3:$N$147,0))="","",INDEX(Observaciones!J$3:J$147,MATCH(ROWS($A$3:A147),Observaciones!$N$3:$N$147,0))),"")</f>
        <v/>
      </c>
    </row>
    <row r="148" spans="1:8" s="10" customFormat="1" ht="28.95" customHeight="1" x14ac:dyDescent="0.3">
      <c r="A148" s="30" t="str">
        <f>IFERROR(IF(INDEX(Observaciones!A$3:A$147,MATCH(ROWS($A$3:A148),Observaciones!$N$3:$N$147,0))="","",INDEX(Observaciones!A$3:A$147,MATCH(ROWS($A$3:A148),Observaciones!$N$3:$N$147,0))),"")</f>
        <v/>
      </c>
      <c r="B148" s="31" t="str">
        <f>IFERROR(IF(INDEX(Observaciones!C$3:C$147,MATCH(ROWS($A$3:A148),Observaciones!$N$3:$N$147,0))="","",INDEX(Observaciones!C$3:C$147,MATCH(ROWS($A$3:A148),Observaciones!$N$3:$N$147,0))),"")</f>
        <v/>
      </c>
      <c r="C148" s="32" t="str">
        <f>IFERROR(IF(INDEX(Observaciones!B$3:B$147,MATCH(ROWS($A$3:A148),Observaciones!$N$3:$N$147,0))="","",INDEX(Observaciones!B$3:B$147,MATCH(ROWS($A$3:A148),Observaciones!$N$3:$N$147,0))),"")</f>
        <v/>
      </c>
      <c r="D148" s="30" t="str">
        <f>IFERROR(IF(INDEX(Observaciones!D$3:D$147,MATCH(ROWS($A$3:A148),Observaciones!$N$3:$N$147,0))="","",INDEX(Observaciones!D$3:D$147,MATCH(ROWS($A$3:A148),Observaciones!$N$3:$N$147,0))),"")</f>
        <v/>
      </c>
      <c r="E148" s="33" t="str">
        <f>IFERROR(IF(INDEX(Observaciones!E$3:E$147,MATCH(ROWS($A$3:A148),Observaciones!$N$3:$N$147,0))="","",INDEX(Observaciones!E$3:E$147,MATCH(ROWS($A$3:A148),Observaciones!$N$3:$N$147,0))),"")</f>
        <v/>
      </c>
      <c r="F148" s="30" t="str">
        <f>IFERROR(IF(INDEX(Observaciones!F$3:F$147,MATCH(ROWS($A$3:A148),Observaciones!$N$3:$N$147,0))="","",INDEX(Observaciones!F$3:F$147,MATCH(ROWS($A$3:A148),Observaciones!$N$3:$N$147,0))),"")</f>
        <v/>
      </c>
      <c r="G148" s="32" t="str">
        <f>IFERROR(IF(INDEX(Observaciones!I$3:I$147,MATCH(ROWS($A$3:A148),Observaciones!$N$3:$N$147,0))="","",INDEX(Observaciones!I$3:I$147,MATCH(ROWS($A$3:A148),Observaciones!$N$3:$N$147,0))),"")</f>
        <v/>
      </c>
      <c r="H148" s="33" t="str">
        <f>IFERROR(IF(INDEX(Observaciones!J$3:J$147,MATCH(ROWS($A$3:A148),Observaciones!$N$3:$N$147,0))="","",INDEX(Observaciones!J$3:J$147,MATCH(ROWS($A$3:A148),Observaciones!$N$3:$N$147,0))),"")</f>
        <v/>
      </c>
    </row>
    <row r="149" spans="1:8" s="10" customFormat="1" ht="28.95" customHeight="1" x14ac:dyDescent="0.3">
      <c r="A149" s="30" t="str">
        <f>IFERROR(IF(INDEX(Observaciones!A$3:A$147,MATCH(ROWS($A$3:A149),Observaciones!$N$3:$N$147,0))="","",INDEX(Observaciones!A$3:A$147,MATCH(ROWS($A$3:A149),Observaciones!$N$3:$N$147,0))),"")</f>
        <v/>
      </c>
      <c r="B149" s="31" t="str">
        <f>IFERROR(IF(INDEX(Observaciones!C$3:C$147,MATCH(ROWS($A$3:A149),Observaciones!$N$3:$N$147,0))="","",INDEX(Observaciones!C$3:C$147,MATCH(ROWS($A$3:A149),Observaciones!$N$3:$N$147,0))),"")</f>
        <v/>
      </c>
      <c r="C149" s="32" t="str">
        <f>IFERROR(IF(INDEX(Observaciones!B$3:B$147,MATCH(ROWS($A$3:A149),Observaciones!$N$3:$N$147,0))="","",INDEX(Observaciones!B$3:B$147,MATCH(ROWS($A$3:A149),Observaciones!$N$3:$N$147,0))),"")</f>
        <v/>
      </c>
      <c r="D149" s="30" t="str">
        <f>IFERROR(IF(INDEX(Observaciones!D$3:D$147,MATCH(ROWS($A$3:A149),Observaciones!$N$3:$N$147,0))="","",INDEX(Observaciones!D$3:D$147,MATCH(ROWS($A$3:A149),Observaciones!$N$3:$N$147,0))),"")</f>
        <v/>
      </c>
      <c r="E149" s="33" t="str">
        <f>IFERROR(IF(INDEX(Observaciones!E$3:E$147,MATCH(ROWS($A$3:A149),Observaciones!$N$3:$N$147,0))="","",INDEX(Observaciones!E$3:E$147,MATCH(ROWS($A$3:A149),Observaciones!$N$3:$N$147,0))),"")</f>
        <v/>
      </c>
      <c r="F149" s="30" t="str">
        <f>IFERROR(IF(INDEX(Observaciones!F$3:F$147,MATCH(ROWS($A$3:A149),Observaciones!$N$3:$N$147,0))="","",INDEX(Observaciones!F$3:F$147,MATCH(ROWS($A$3:A149),Observaciones!$N$3:$N$147,0))),"")</f>
        <v/>
      </c>
      <c r="G149" s="32" t="str">
        <f>IFERROR(IF(INDEX(Observaciones!I$3:I$147,MATCH(ROWS($A$3:A149),Observaciones!$N$3:$N$147,0))="","",INDEX(Observaciones!I$3:I$147,MATCH(ROWS($A$3:A149),Observaciones!$N$3:$N$147,0))),"")</f>
        <v/>
      </c>
      <c r="H149" s="33" t="str">
        <f>IFERROR(IF(INDEX(Observaciones!J$3:J$147,MATCH(ROWS($A$3:A149),Observaciones!$N$3:$N$147,0))="","",INDEX(Observaciones!J$3:J$147,MATCH(ROWS($A$3:A149),Observaciones!$N$3:$N$147,0))),"")</f>
        <v/>
      </c>
    </row>
    <row r="150" spans="1:8" s="10" customFormat="1" ht="28.95" customHeight="1" x14ac:dyDescent="0.3">
      <c r="A150" s="30" t="str">
        <f>IFERROR(IF(INDEX(Observaciones!A$3:A$147,MATCH(ROWS($A$3:A150),Observaciones!$N$3:$N$147,0))="","",INDEX(Observaciones!A$3:A$147,MATCH(ROWS($A$3:A150),Observaciones!$N$3:$N$147,0))),"")</f>
        <v/>
      </c>
      <c r="B150" s="31" t="str">
        <f>IFERROR(IF(INDEX(Observaciones!C$3:C$147,MATCH(ROWS($A$3:A150),Observaciones!$N$3:$N$147,0))="","",INDEX(Observaciones!C$3:C$147,MATCH(ROWS($A$3:A150),Observaciones!$N$3:$N$147,0))),"")</f>
        <v/>
      </c>
      <c r="C150" s="32" t="str">
        <f>IFERROR(IF(INDEX(Observaciones!B$3:B$147,MATCH(ROWS($A$3:A150),Observaciones!$N$3:$N$147,0))="","",INDEX(Observaciones!B$3:B$147,MATCH(ROWS($A$3:A150),Observaciones!$N$3:$N$147,0))),"")</f>
        <v/>
      </c>
      <c r="D150" s="30" t="str">
        <f>IFERROR(IF(INDEX(Observaciones!D$3:D$147,MATCH(ROWS($A$3:A150),Observaciones!$N$3:$N$147,0))="","",INDEX(Observaciones!D$3:D$147,MATCH(ROWS($A$3:A150),Observaciones!$N$3:$N$147,0))),"")</f>
        <v/>
      </c>
      <c r="E150" s="33" t="str">
        <f>IFERROR(IF(INDEX(Observaciones!E$3:E$147,MATCH(ROWS($A$3:A150),Observaciones!$N$3:$N$147,0))="","",INDEX(Observaciones!E$3:E$147,MATCH(ROWS($A$3:A150),Observaciones!$N$3:$N$147,0))),"")</f>
        <v/>
      </c>
      <c r="F150" s="30" t="str">
        <f>IFERROR(IF(INDEX(Observaciones!F$3:F$147,MATCH(ROWS($A$3:A150),Observaciones!$N$3:$N$147,0))="","",INDEX(Observaciones!F$3:F$147,MATCH(ROWS($A$3:A150),Observaciones!$N$3:$N$147,0))),"")</f>
        <v/>
      </c>
      <c r="G150" s="32" t="str">
        <f>IFERROR(IF(INDEX(Observaciones!I$3:I$147,MATCH(ROWS($A$3:A150),Observaciones!$N$3:$N$147,0))="","",INDEX(Observaciones!I$3:I$147,MATCH(ROWS($A$3:A150),Observaciones!$N$3:$N$147,0))),"")</f>
        <v/>
      </c>
      <c r="H150" s="33" t="str">
        <f>IFERROR(IF(INDEX(Observaciones!J$3:J$147,MATCH(ROWS($A$3:A150),Observaciones!$N$3:$N$147,0))="","",INDEX(Observaciones!J$3:J$147,MATCH(ROWS($A$3:A150),Observaciones!$N$3:$N$147,0))),"")</f>
        <v/>
      </c>
    </row>
    <row r="151" spans="1:8" s="10" customFormat="1" ht="28.95" customHeight="1" x14ac:dyDescent="0.3">
      <c r="A151" s="30" t="str">
        <f>IFERROR(IF(INDEX(Observaciones!A$3:A$147,MATCH(ROWS($A$3:A151),Observaciones!$N$3:$N$147,0))="","",INDEX(Observaciones!A$3:A$147,MATCH(ROWS($A$3:A151),Observaciones!$N$3:$N$147,0))),"")</f>
        <v/>
      </c>
      <c r="B151" s="31" t="str">
        <f>IFERROR(IF(INDEX(Observaciones!C$3:C$147,MATCH(ROWS($A$3:A151),Observaciones!$N$3:$N$147,0))="","",INDEX(Observaciones!C$3:C$147,MATCH(ROWS($A$3:A151),Observaciones!$N$3:$N$147,0))),"")</f>
        <v/>
      </c>
      <c r="C151" s="32" t="str">
        <f>IFERROR(IF(INDEX(Observaciones!B$3:B$147,MATCH(ROWS($A$3:A151),Observaciones!$N$3:$N$147,0))="","",INDEX(Observaciones!B$3:B$147,MATCH(ROWS($A$3:A151),Observaciones!$N$3:$N$147,0))),"")</f>
        <v/>
      </c>
      <c r="D151" s="30" t="str">
        <f>IFERROR(IF(INDEX(Observaciones!D$3:D$147,MATCH(ROWS($A$3:A151),Observaciones!$N$3:$N$147,0))="","",INDEX(Observaciones!D$3:D$147,MATCH(ROWS($A$3:A151),Observaciones!$N$3:$N$147,0))),"")</f>
        <v/>
      </c>
      <c r="E151" s="33" t="str">
        <f>IFERROR(IF(INDEX(Observaciones!E$3:E$147,MATCH(ROWS($A$3:A151),Observaciones!$N$3:$N$147,0))="","",INDEX(Observaciones!E$3:E$147,MATCH(ROWS($A$3:A151),Observaciones!$N$3:$N$147,0))),"")</f>
        <v/>
      </c>
      <c r="F151" s="30" t="str">
        <f>IFERROR(IF(INDEX(Observaciones!F$3:F$147,MATCH(ROWS($A$3:A151),Observaciones!$N$3:$N$147,0))="","",INDEX(Observaciones!F$3:F$147,MATCH(ROWS($A$3:A151),Observaciones!$N$3:$N$147,0))),"")</f>
        <v/>
      </c>
      <c r="G151" s="32" t="str">
        <f>IFERROR(IF(INDEX(Observaciones!I$3:I$147,MATCH(ROWS($A$3:A151),Observaciones!$N$3:$N$147,0))="","",INDEX(Observaciones!I$3:I$147,MATCH(ROWS($A$3:A151),Observaciones!$N$3:$N$147,0))),"")</f>
        <v/>
      </c>
      <c r="H151" s="33" t="str">
        <f>IFERROR(IF(INDEX(Observaciones!J$3:J$147,MATCH(ROWS($A$3:A151),Observaciones!$N$3:$N$147,0))="","",INDEX(Observaciones!J$3:J$147,MATCH(ROWS($A$3:A151),Observaciones!$N$3:$N$147,0))),"")</f>
        <v/>
      </c>
    </row>
    <row r="152" spans="1:8" s="10" customFormat="1" ht="28.95" customHeight="1" x14ac:dyDescent="0.3">
      <c r="A152" s="30" t="str">
        <f>IFERROR(IF(INDEX(Observaciones!A$3:A$147,MATCH(ROWS($A$3:A152),Observaciones!$N$3:$N$147,0))="","",INDEX(Observaciones!A$3:A$147,MATCH(ROWS($A$3:A152),Observaciones!$N$3:$N$147,0))),"")</f>
        <v/>
      </c>
      <c r="B152" s="31" t="str">
        <f>IFERROR(IF(INDEX(Observaciones!C$3:C$147,MATCH(ROWS($A$3:A152),Observaciones!$N$3:$N$147,0))="","",INDEX(Observaciones!C$3:C$147,MATCH(ROWS($A$3:A152),Observaciones!$N$3:$N$147,0))),"")</f>
        <v/>
      </c>
      <c r="C152" s="32" t="str">
        <f>IFERROR(IF(INDEX(Observaciones!B$3:B$147,MATCH(ROWS($A$3:A152),Observaciones!$N$3:$N$147,0))="","",INDEX(Observaciones!B$3:B$147,MATCH(ROWS($A$3:A152),Observaciones!$N$3:$N$147,0))),"")</f>
        <v/>
      </c>
      <c r="D152" s="30" t="str">
        <f>IFERROR(IF(INDEX(Observaciones!D$3:D$147,MATCH(ROWS($A$3:A152),Observaciones!$N$3:$N$147,0))="","",INDEX(Observaciones!D$3:D$147,MATCH(ROWS($A$3:A152),Observaciones!$N$3:$N$147,0))),"")</f>
        <v/>
      </c>
      <c r="E152" s="33" t="str">
        <f>IFERROR(IF(INDEX(Observaciones!E$3:E$147,MATCH(ROWS($A$3:A152),Observaciones!$N$3:$N$147,0))="","",INDEX(Observaciones!E$3:E$147,MATCH(ROWS($A$3:A152),Observaciones!$N$3:$N$147,0))),"")</f>
        <v/>
      </c>
      <c r="F152" s="30" t="str">
        <f>IFERROR(IF(INDEX(Observaciones!F$3:F$147,MATCH(ROWS($A$3:A152),Observaciones!$N$3:$N$147,0))="","",INDEX(Observaciones!F$3:F$147,MATCH(ROWS($A$3:A152),Observaciones!$N$3:$N$147,0))),"")</f>
        <v/>
      </c>
      <c r="G152" s="32" t="str">
        <f>IFERROR(IF(INDEX(Observaciones!I$3:I$147,MATCH(ROWS($A$3:A152),Observaciones!$N$3:$N$147,0))="","",INDEX(Observaciones!I$3:I$147,MATCH(ROWS($A$3:A152),Observaciones!$N$3:$N$147,0))),"")</f>
        <v/>
      </c>
      <c r="H152" s="33" t="str">
        <f>IFERROR(IF(INDEX(Observaciones!J$3:J$147,MATCH(ROWS($A$3:A152),Observaciones!$N$3:$N$147,0))="","",INDEX(Observaciones!J$3:J$147,MATCH(ROWS($A$3:A152),Observaciones!$N$3:$N$147,0))),"")</f>
        <v/>
      </c>
    </row>
    <row r="153" spans="1:8" s="10" customFormat="1" ht="28.95" customHeight="1" x14ac:dyDescent="0.3">
      <c r="A153" s="30" t="str">
        <f>IFERROR(IF(INDEX(Observaciones!A$3:A$147,MATCH(ROWS($A$3:A153),Observaciones!$N$3:$N$147,0))="","",INDEX(Observaciones!A$3:A$147,MATCH(ROWS($A$3:A153),Observaciones!$N$3:$N$147,0))),"")</f>
        <v/>
      </c>
      <c r="B153" s="31" t="str">
        <f>IFERROR(IF(INDEX(Observaciones!C$3:C$147,MATCH(ROWS($A$3:A153),Observaciones!$N$3:$N$147,0))="","",INDEX(Observaciones!C$3:C$147,MATCH(ROWS($A$3:A153),Observaciones!$N$3:$N$147,0))),"")</f>
        <v/>
      </c>
      <c r="C153" s="32" t="str">
        <f>IFERROR(IF(INDEX(Observaciones!B$3:B$147,MATCH(ROWS($A$3:A153),Observaciones!$N$3:$N$147,0))="","",INDEX(Observaciones!B$3:B$147,MATCH(ROWS($A$3:A153),Observaciones!$N$3:$N$147,0))),"")</f>
        <v/>
      </c>
      <c r="D153" s="30" t="str">
        <f>IFERROR(IF(INDEX(Observaciones!D$3:D$147,MATCH(ROWS($A$3:A153),Observaciones!$N$3:$N$147,0))="","",INDEX(Observaciones!D$3:D$147,MATCH(ROWS($A$3:A153),Observaciones!$N$3:$N$147,0))),"")</f>
        <v/>
      </c>
      <c r="E153" s="33" t="str">
        <f>IFERROR(IF(INDEX(Observaciones!E$3:E$147,MATCH(ROWS($A$3:A153),Observaciones!$N$3:$N$147,0))="","",INDEX(Observaciones!E$3:E$147,MATCH(ROWS($A$3:A153),Observaciones!$N$3:$N$147,0))),"")</f>
        <v/>
      </c>
      <c r="F153" s="30" t="str">
        <f>IFERROR(IF(INDEX(Observaciones!F$3:F$147,MATCH(ROWS($A$3:A153),Observaciones!$N$3:$N$147,0))="","",INDEX(Observaciones!F$3:F$147,MATCH(ROWS($A$3:A153),Observaciones!$N$3:$N$147,0))),"")</f>
        <v/>
      </c>
      <c r="G153" s="32" t="str">
        <f>IFERROR(IF(INDEX(Observaciones!I$3:I$147,MATCH(ROWS($A$3:A153),Observaciones!$N$3:$N$147,0))="","",INDEX(Observaciones!I$3:I$147,MATCH(ROWS($A$3:A153),Observaciones!$N$3:$N$147,0))),"")</f>
        <v/>
      </c>
      <c r="H153" s="33" t="str">
        <f>IFERROR(IF(INDEX(Observaciones!J$3:J$147,MATCH(ROWS($A$3:A153),Observaciones!$N$3:$N$147,0))="","",INDEX(Observaciones!J$3:J$147,MATCH(ROWS($A$3:A153),Observaciones!$N$3:$N$147,0))),"")</f>
        <v/>
      </c>
    </row>
    <row r="154" spans="1:8" s="10" customFormat="1" ht="28.95" customHeight="1" x14ac:dyDescent="0.3">
      <c r="A154" s="34" t="s">
        <v>87</v>
      </c>
      <c r="B154" s="34">
        <f>COUNTIF(Observaciones!$H$3:$H$147,"OK")</f>
        <v>2</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Registro Visitas</vt:lpstr>
      <vt:lpstr>Observaciones</vt:lpstr>
      <vt:lpstr>Consultas</vt:lpstr>
      <vt:lpstr>Resumen Subsanadas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Sebastian Alvarez</cp:lastModifiedBy>
  <cp:revision>1</cp:revision>
  <dcterms:created xsi:type="dcterms:W3CDTF">2026-07-22T21:21:33Z</dcterms:created>
  <dcterms:modified xsi:type="dcterms:W3CDTF">2026-07-31T18:49:58Z</dcterms:modified>
  <cp:category/>
  <cp:contentStatus/>
</cp:coreProperties>
</file>